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📊 Dashboard" sheetId="1" state="visible" r:id="rId1"/>
    <sheet xmlns:r="http://schemas.openxmlformats.org/officeDocument/2006/relationships" name="🗓️ Annual Plan" sheetId="2" state="visible" r:id="rId2"/>
    <sheet xmlns:r="http://schemas.openxmlformats.org/officeDocument/2006/relationships" name="📋 Weekly Plan" sheetId="3" state="visible" r:id="rId3"/>
    <sheet xmlns:r="http://schemas.openxmlformats.org/officeDocument/2006/relationships" name="LOG" sheetId="4" state="visible" r:id="rId4"/>
    <sheet xmlns:r="http://schemas.openxmlformats.org/officeDocument/2006/relationships" name="WEEKLY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YY"/>
  </numFmts>
  <fonts count="60">
    <font>
      <name val="Calibri"/>
      <color theme="1"/>
      <sz val="11"/>
      <scheme val="minor"/>
    </font>
    <font>
      <name val="Arial"/>
      <b val="1"/>
      <color rgb="FFFFFFFF"/>
      <sz val="20"/>
    </font>
    <font/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00A878"/>
      <sz val="14"/>
    </font>
    <font>
      <name val="Arial"/>
      <b val="1"/>
      <color rgb="FF2E6FD9"/>
      <sz val="14"/>
    </font>
    <font>
      <name val="Arial"/>
      <b val="1"/>
      <color rgb="FFE8652A"/>
      <sz val="14"/>
    </font>
    <font>
      <name val="Calibri"/>
      <color theme="1"/>
      <sz val="11"/>
    </font>
    <font>
      <name val="Arial"/>
      <color rgb="FF1A1A2E"/>
      <sz val="11"/>
    </font>
    <font>
      <name val="Arial"/>
      <b val="1"/>
      <color rgb="FF1A1A2E"/>
      <sz val="11"/>
    </font>
    <font>
      <name val="Arial"/>
      <b val="1"/>
      <color rgb="FFFFFFFF"/>
      <sz val="14"/>
    </font>
    <font>
      <name val="Arial"/>
      <i val="1"/>
      <color rgb="FF6B7280"/>
      <sz val="10"/>
    </font>
    <font>
      <name val="Arial"/>
      <b val="1"/>
      <color rgb="FF2E6FD9"/>
      <sz val="11"/>
    </font>
    <font>
      <name val="Arial"/>
      <color rgb="FF6B7280"/>
      <sz val="11"/>
    </font>
    <font>
      <name val="Arial"/>
      <b val="1"/>
      <color rgb="FF00A878"/>
      <sz val="11"/>
    </font>
    <font>
      <name val="Arial"/>
      <color rgb="FF2E6FD9"/>
      <sz val="11"/>
    </font>
    <font>
      <name val="Arial"/>
      <color rgb="FFD4A017"/>
      <sz val="11"/>
    </font>
    <font>
      <name val="Arial"/>
      <b val="1"/>
      <color rgb="FFD4A017"/>
      <sz val="11"/>
    </font>
    <font>
      <name val="Arial"/>
      <color rgb="FFE8652A"/>
      <sz val="11"/>
    </font>
    <font>
      <name val="Arial"/>
      <b val="1"/>
      <color rgb="FFE8652A"/>
      <sz val="11"/>
    </font>
    <font>
      <name val="Arial"/>
      <color rgb="FFD93025"/>
      <sz val="11"/>
    </font>
    <font>
      <name val="Arial"/>
      <b val="1"/>
      <color rgb="FFD93025"/>
      <sz val="11"/>
    </font>
    <font>
      <name val="Arial"/>
      <b val="1"/>
      <color rgb="00FFFFFF"/>
      <sz val="15"/>
    </font>
    <font>
      <name val="Arial"/>
      <color rgb="00006B4E"/>
      <sz val="10"/>
    </font>
    <font>
      <name val="Arial"/>
      <b val="1"/>
      <color rgb="00FFFFFF"/>
      <sz val="9"/>
    </font>
    <font>
      <name val="Arial"/>
      <b val="1"/>
      <color rgb="0000A878"/>
      <sz val="12"/>
    </font>
    <font>
      <name val="Arial"/>
      <b val="1"/>
      <color rgb="00E8652A"/>
      <sz val="12"/>
    </font>
    <font>
      <name val="Arial"/>
      <b val="1"/>
      <color rgb="002E6FD9"/>
      <sz val="12"/>
    </font>
    <font>
      <name val="Arial"/>
      <b val="1"/>
      <color rgb="001A1A2E"/>
      <sz val="12"/>
    </font>
    <font>
      <name val="Arial"/>
      <b val="1"/>
      <color rgb="00FFFFFF"/>
      <sz val="11"/>
    </font>
    <font>
      <name val="Arial"/>
      <b val="1"/>
      <color rgb="002E6FD9"/>
      <sz val="11"/>
    </font>
    <font>
      <name val="Arial"/>
      <color rgb="001A1A2E"/>
      <sz val="10"/>
    </font>
    <font>
      <name val="Arial"/>
      <b val="1"/>
      <color rgb="001A1A2E"/>
      <sz val="10"/>
    </font>
    <font>
      <name val="Arial"/>
      <color rgb="002E6FD9"/>
      <sz val="10"/>
    </font>
    <font>
      <name val="Arial"/>
      <color rgb="00E8652A"/>
      <sz val="10"/>
    </font>
    <font>
      <name val="Arial"/>
      <color rgb="00D93025"/>
      <sz val="10"/>
    </font>
    <font>
      <name val="Arial"/>
      <b val="1"/>
      <color rgb="00006B4E"/>
      <sz val="10"/>
    </font>
    <font>
      <name val="Arial"/>
      <color rgb="000891B2"/>
      <sz val="10"/>
    </font>
    <font>
      <name val="Arial"/>
      <b val="1"/>
      <color rgb="00FFFFFF"/>
      <sz val="10"/>
    </font>
    <font>
      <name val="Arial"/>
      <b val="1"/>
      <color rgb="0000A878"/>
      <sz val="11"/>
    </font>
    <font>
      <name val="Arial"/>
      <b val="1"/>
      <color rgb="00D4A017"/>
      <sz val="11"/>
    </font>
    <font>
      <name val="Arial"/>
      <b val="1"/>
      <color rgb="00E8652A"/>
      <sz val="11"/>
    </font>
    <font>
      <name val="Arial"/>
      <b val="1"/>
      <color rgb="002E6FD9"/>
      <sz val="10"/>
    </font>
    <font>
      <name val="Arial"/>
      <b val="1"/>
      <color rgb="00E8652A"/>
      <sz val="10"/>
    </font>
    <font>
      <name val="Arial"/>
      <b val="1"/>
      <color rgb="0000A878"/>
      <sz val="10"/>
    </font>
    <font>
      <name val="Arial"/>
      <b val="1"/>
      <color rgb="00D4A017"/>
      <sz val="10"/>
    </font>
    <font>
      <name val="Arial"/>
      <b val="1"/>
      <color rgb="00D93025"/>
      <sz val="10"/>
    </font>
    <font>
      <name val="Arial"/>
      <color rgb="006B7280"/>
      <sz val="10"/>
    </font>
    <font>
      <name val="Arial"/>
      <b val="1"/>
      <color rgb="00006B4E"/>
      <sz val="11"/>
    </font>
    <font>
      <name val="Arial"/>
      <b val="1"/>
      <color rgb="007C3AED"/>
      <sz val="11"/>
    </font>
    <font>
      <name val="Arial"/>
      <b val="1"/>
      <color rgb="00FFFFFF"/>
      <sz val="14"/>
    </font>
    <font>
      <name val="Arial"/>
      <color rgb="007C3AED"/>
      <sz val="9"/>
    </font>
    <font>
      <name val="Arial"/>
      <b val="1"/>
      <color rgb="0000A878"/>
      <sz val="9"/>
    </font>
    <font>
      <name val="Arial"/>
      <b val="1"/>
      <color rgb="002E6FD9"/>
      <sz val="9"/>
    </font>
    <font>
      <name val="Arial"/>
      <b val="1"/>
      <color rgb="00E8652A"/>
      <sz val="9"/>
    </font>
    <font>
      <name val="Arial"/>
      <b val="1"/>
      <color rgb="00D93025"/>
      <sz val="9"/>
    </font>
    <font>
      <name val="Arial"/>
      <b val="1"/>
      <color rgb="007C3AED"/>
      <sz val="9"/>
    </font>
    <font>
      <name val="Arial"/>
      <b val="1"/>
      <color rgb="001A1A2E"/>
      <sz val="9"/>
    </font>
    <font>
      <name val="Arial"/>
      <color rgb="007C3AED"/>
      <sz val="10"/>
    </font>
  </fonts>
  <fills count="32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0A878"/>
        <bgColor rgb="FF00A878"/>
      </patternFill>
    </fill>
    <fill>
      <patternFill patternType="solid">
        <fgColor rgb="FF2E6FD9"/>
        <bgColor rgb="FF2E6FD9"/>
      </patternFill>
    </fill>
    <fill>
      <patternFill patternType="solid">
        <fgColor rgb="FFE8652A"/>
        <bgColor rgb="FFE8652A"/>
      </patternFill>
    </fill>
    <fill>
      <patternFill patternType="solid">
        <fgColor rgb="FFE8F8F3"/>
        <bgColor rgb="FFE8F8F3"/>
      </patternFill>
    </fill>
    <fill>
      <patternFill patternType="solid">
        <fgColor rgb="FFEBF2FD"/>
        <bgColor rgb="FFEBF2FD"/>
      </patternFill>
    </fill>
    <fill>
      <patternFill patternType="solid">
        <fgColor rgb="FFFDF0EA"/>
        <bgColor rgb="FFFDF0EA"/>
      </patternFill>
    </fill>
    <fill>
      <patternFill patternType="solid">
        <fgColor rgb="FF6B7280"/>
        <bgColor rgb="FF6B7280"/>
      </patternFill>
    </fill>
    <fill>
      <patternFill patternType="solid">
        <fgColor rgb="FFFFFFFF"/>
        <bgColor rgb="FFFFFFFF"/>
      </patternFill>
    </fill>
    <fill>
      <patternFill patternType="solid">
        <fgColor rgb="FFF5F5F7"/>
        <bgColor rgb="FFF5F5F7"/>
      </patternFill>
    </fill>
    <fill>
      <patternFill patternType="solid">
        <fgColor rgb="FFFDF6E3"/>
        <bgColor rgb="FFFDF6E3"/>
      </patternFill>
    </fill>
    <fill>
      <patternFill patternType="solid">
        <fgColor rgb="FFFDECEA"/>
        <bgColor rgb="FFFDECEA"/>
      </patternFill>
    </fill>
    <fill>
      <patternFill patternType="solid">
        <fgColor rgb="001A1A2E"/>
      </patternFill>
    </fill>
    <fill>
      <patternFill patternType="solid">
        <fgColor rgb="00E8F8F3"/>
      </patternFill>
    </fill>
    <fill>
      <patternFill patternType="solid">
        <fgColor rgb="00FFFFFF"/>
      </patternFill>
    </fill>
    <fill>
      <patternFill patternType="solid">
        <fgColor rgb="0000A878"/>
      </patternFill>
    </fill>
    <fill>
      <patternFill patternType="solid">
        <fgColor rgb="00E8652A"/>
      </patternFill>
    </fill>
    <fill>
      <patternFill patternType="solid">
        <fgColor rgb="00FDF0EA"/>
      </patternFill>
    </fill>
    <fill>
      <patternFill patternType="solid">
        <fgColor rgb="002E6FD9"/>
      </patternFill>
    </fill>
    <fill>
      <patternFill patternType="solid">
        <fgColor rgb="00EBF2FD"/>
      </patternFill>
    </fill>
    <fill>
      <patternFill patternType="solid">
        <fgColor rgb="00F5F5F7"/>
      </patternFill>
    </fill>
    <fill>
      <patternFill patternType="solid">
        <fgColor rgb="007C3AED"/>
      </patternFill>
    </fill>
    <fill>
      <patternFill patternType="solid">
        <fgColor rgb="00D93025"/>
      </patternFill>
    </fill>
    <fill>
      <patternFill patternType="solid">
        <fgColor rgb="000891B2"/>
      </patternFill>
    </fill>
    <fill>
      <patternFill patternType="solid">
        <fgColor rgb="00FDECEA"/>
      </patternFill>
    </fill>
    <fill>
      <patternFill patternType="solid">
        <fgColor rgb="00E0F7FA"/>
      </patternFill>
    </fill>
    <fill>
      <patternFill patternType="solid">
        <fgColor rgb="00FDF6E3"/>
      </patternFill>
    </fill>
    <fill>
      <patternFill patternType="solid">
        <fgColor rgb="00006B4E"/>
      </patternFill>
    </fill>
    <fill>
      <patternFill patternType="solid">
        <fgColor rgb="00F3EFFE"/>
      </patternFill>
    </fill>
    <fill>
      <patternFill patternType="solid">
        <fgColor rgb="00D4A017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  <border>
      <top style="thin">
        <color rgb="FFDDDDDD"/>
      </top>
    </border>
    <border>
      <right style="thin">
        <color rgb="FFDDDDDD"/>
      </right>
      <top style="thin">
        <color rgb="FFDDDDDD"/>
      </top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DDDDDD"/>
      </top>
    </border>
    <border>
      <right style="thin">
        <color rgb="00DDDDDD"/>
      </right>
      <top style="thin">
        <color rgb="00DDDDDD"/>
      </top>
    </border>
    <border>
      <top style="thin">
        <color rgb="00DDDDDD"/>
      </top>
      <bottom style="thin">
        <color rgb="00DDDDDD"/>
      </bottom>
    </border>
    <border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/>
    </xf>
    <xf numFmtId="0" fontId="4" fillId="3" borderId="4" applyAlignment="1" pivotButton="0" quotePrefix="0" xfId="0">
      <alignment horizontal="center" vertical="center" wrapText="1"/>
    </xf>
    <xf numFmtId="0" fontId="2" fillId="0" borderId="5" pivotButton="0" quotePrefix="0" xfId="0"/>
    <xf numFmtId="0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164" fontId="7" fillId="8" borderId="4" applyAlignment="1" pivotButton="0" quotePrefix="0" xfId="0">
      <alignment horizontal="center" vertical="center" wrapText="1"/>
    </xf>
    <xf numFmtId="164" fontId="6" fillId="7" borderId="4" applyAlignment="1" pivotButton="0" quotePrefix="0" xfId="0">
      <alignment horizontal="center" vertical="center" wrapText="1"/>
    </xf>
    <xf numFmtId="0" fontId="8" fillId="6" borderId="4" pivotButton="0" quotePrefix="0" xfId="0"/>
    <xf numFmtId="0" fontId="8" fillId="7" borderId="4" pivotButton="0" quotePrefix="0" xfId="0"/>
    <xf numFmtId="0" fontId="8" fillId="8" borderId="4" pivotButton="0" quotePrefix="0" xfId="0"/>
    <xf numFmtId="0" fontId="3" fillId="2" borderId="4" applyAlignment="1" pivotButton="0" quotePrefix="0" xfId="0">
      <alignment horizontal="left" vertical="center" wrapText="1"/>
    </xf>
    <xf numFmtId="0" fontId="2" fillId="0" borderId="6" pivotButton="0" quotePrefix="0" xfId="0"/>
    <xf numFmtId="0" fontId="4" fillId="9" borderId="7" applyAlignment="1" pivotButton="0" quotePrefix="0" xfId="0">
      <alignment horizontal="center" vertical="center" wrapText="1"/>
    </xf>
    <xf numFmtId="165" fontId="9" fillId="10" borderId="7" applyAlignment="1" pivotButton="0" quotePrefix="0" xfId="0">
      <alignment horizontal="center" vertical="center" wrapText="1"/>
    </xf>
    <xf numFmtId="0" fontId="9" fillId="10" borderId="7" applyAlignment="1" pivotButton="0" quotePrefix="0" xfId="0">
      <alignment horizontal="center" vertical="center" wrapText="1"/>
    </xf>
    <xf numFmtId="164" fontId="9" fillId="10" borderId="7" applyAlignment="1" pivotButton="0" quotePrefix="0" xfId="0">
      <alignment horizontal="center" vertical="center" wrapText="1"/>
    </xf>
    <xf numFmtId="9" fontId="9" fillId="10" borderId="7" applyAlignment="1" pivotButton="0" quotePrefix="0" xfId="0">
      <alignment horizontal="center" vertical="center" wrapText="1"/>
    </xf>
    <xf numFmtId="165" fontId="9" fillId="11" borderId="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10" fillId="10" borderId="7" applyAlignment="1" pivotButton="0" quotePrefix="0" xfId="0">
      <alignment horizontal="left" vertical="center" wrapText="1"/>
    </xf>
    <xf numFmtId="1" fontId="9" fillId="10" borderId="7" applyAlignment="1" pivotButton="0" quotePrefix="0" xfId="0">
      <alignment horizontal="center" vertical="center" wrapText="1"/>
    </xf>
    <xf numFmtId="0" fontId="10" fillId="11" borderId="7" applyAlignment="1" pivotButton="0" quotePrefix="0" xfId="0">
      <alignment horizontal="left" vertical="center" wrapText="1"/>
    </xf>
    <xf numFmtId="0" fontId="9" fillId="11" borderId="7" applyAlignment="1" pivotButton="0" quotePrefix="0" xfId="0">
      <alignment horizontal="center" vertical="center" wrapText="1"/>
    </xf>
    <xf numFmtId="164" fontId="9" fillId="11" borderId="7" applyAlignment="1" pivotButton="0" quotePrefix="0" xfId="0">
      <alignment horizontal="center" vertical="center" wrapText="1"/>
    </xf>
    <xf numFmtId="1" fontId="9" fillId="11" borderId="7" applyAlignment="1" pivotButton="0" quotePrefix="0" xfId="0">
      <alignment horizontal="center" vertical="center" wrapText="1"/>
    </xf>
    <xf numFmtId="9" fontId="9" fillId="11" borderId="7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left" vertical="center" wrapText="1"/>
    </xf>
    <xf numFmtId="164" fontId="9" fillId="6" borderId="7" applyAlignment="1" pivotButton="0" quotePrefix="0" xfId="0">
      <alignment horizontal="center" vertical="center" wrapText="1"/>
    </xf>
    <xf numFmtId="0" fontId="9" fillId="6" borderId="7" applyAlignment="1" pivotButton="0" quotePrefix="0" xfId="0">
      <alignment horizontal="center" vertical="center" wrapText="1"/>
    </xf>
    <xf numFmtId="1" fontId="9" fillId="6" borderId="7" applyAlignment="1" pivotButton="0" quotePrefix="0" xfId="0">
      <alignment horizontal="center" vertical="center" wrapText="1"/>
    </xf>
    <xf numFmtId="9" fontId="9" fillId="6" borderId="7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4" fillId="2" borderId="7" applyAlignment="1" pivotButton="0" quotePrefix="0" xfId="0">
      <alignment horizontal="center" vertical="center" wrapText="1"/>
    </xf>
    <xf numFmtId="0" fontId="9" fillId="10" borderId="7" applyAlignment="1" pivotButton="0" quotePrefix="0" xfId="0">
      <alignment horizontal="left" vertical="center" wrapText="1"/>
    </xf>
    <xf numFmtId="2" fontId="9" fillId="10" borderId="7" applyAlignment="1" pivotButton="0" quotePrefix="0" xfId="0">
      <alignment horizontal="center" vertical="center" wrapText="1"/>
    </xf>
    <xf numFmtId="0" fontId="9" fillId="11" borderId="7" applyAlignment="1" pivotButton="0" quotePrefix="0" xfId="0">
      <alignment horizontal="left" vertical="center" wrapText="1"/>
    </xf>
    <xf numFmtId="2" fontId="9" fillId="11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13" fillId="7" borderId="7" applyAlignment="1" pivotButton="0" quotePrefix="0" xfId="0">
      <alignment horizontal="center" vertical="center" wrapText="1"/>
    </xf>
    <xf numFmtId="0" fontId="14" fillId="10" borderId="7" applyAlignment="1" pivotButton="0" quotePrefix="0" xfId="0">
      <alignment horizontal="left" vertical="center" wrapText="1"/>
    </xf>
    <xf numFmtId="0" fontId="13" fillId="7" borderId="7" applyAlignment="1" pivotButton="0" quotePrefix="0" xfId="0">
      <alignment horizontal="center" vertical="center" wrapText="1"/>
    </xf>
    <xf numFmtId="0" fontId="14" fillId="11" borderId="7" applyAlignment="1" pivotButton="0" quotePrefix="0" xfId="0">
      <alignment horizontal="left" vertical="center" wrapText="1"/>
    </xf>
    <xf numFmtId="0" fontId="15" fillId="6" borderId="7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16" fillId="7" borderId="7" applyAlignment="1" pivotButton="0" quotePrefix="0" xfId="0">
      <alignment horizontal="left" vertical="center" wrapText="1"/>
    </xf>
    <xf numFmtId="0" fontId="14" fillId="7" borderId="7" applyAlignment="1" pivotButton="0" quotePrefix="0" xfId="0">
      <alignment horizontal="left" vertical="center" wrapText="1"/>
    </xf>
    <xf numFmtId="0" fontId="15" fillId="6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17" fillId="12" borderId="7" applyAlignment="1" pivotButton="0" quotePrefix="0" xfId="0">
      <alignment horizontal="left" vertical="center" wrapText="1"/>
    </xf>
    <xf numFmtId="0" fontId="18" fillId="12" borderId="7" applyAlignment="1" pivotButton="0" quotePrefix="0" xfId="0">
      <alignment horizontal="center" vertical="center" wrapText="1"/>
    </xf>
    <xf numFmtId="0" fontId="14" fillId="12" borderId="7" applyAlignment="1" pivotButton="0" quotePrefix="0" xfId="0">
      <alignment horizontal="left" vertical="center" wrapText="1"/>
    </xf>
    <xf numFmtId="0" fontId="19" fillId="8" borderId="7" applyAlignment="1" pivotButton="0" quotePrefix="0" xfId="0">
      <alignment horizontal="left" vertical="center" wrapText="1"/>
    </xf>
    <xf numFmtId="0" fontId="20" fillId="8" borderId="7" applyAlignment="1" pivotButton="0" quotePrefix="0" xfId="0">
      <alignment horizontal="center" vertical="center" wrapText="1"/>
    </xf>
    <xf numFmtId="0" fontId="14" fillId="8" borderId="7" applyAlignment="1" pivotButton="0" quotePrefix="0" xfId="0">
      <alignment horizontal="left" vertical="center" wrapText="1"/>
    </xf>
    <xf numFmtId="0" fontId="21" fillId="13" borderId="7" applyAlignment="1" pivotButton="0" quotePrefix="0" xfId="0">
      <alignment horizontal="left" vertical="center" wrapText="1"/>
    </xf>
    <xf numFmtId="0" fontId="22" fillId="13" borderId="7" applyAlignment="1" pivotButton="0" quotePrefix="0" xfId="0">
      <alignment horizontal="center" vertical="center" wrapText="1"/>
    </xf>
    <xf numFmtId="0" fontId="14" fillId="13" borderId="7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164" fontId="15" fillId="6" borderId="7" applyAlignment="1" pivotButton="0" quotePrefix="0" xfId="0">
      <alignment horizontal="center" vertical="center" wrapText="1"/>
    </xf>
    <xf numFmtId="9" fontId="15" fillId="6" borderId="7" applyAlignment="1" pivotButton="0" quotePrefix="0" xfId="0">
      <alignment horizontal="center" vertical="center" wrapText="1"/>
    </xf>
    <xf numFmtId="0" fontId="10" fillId="10" borderId="7" applyAlignment="1" pivotButton="0" quotePrefix="0" xfId="0">
      <alignment horizontal="center" vertical="center" wrapText="1"/>
    </xf>
    <xf numFmtId="0" fontId="10" fillId="11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8" applyAlignment="1" pivotButton="0" quotePrefix="0" xfId="0">
      <alignment horizontal="left" vertical="center"/>
    </xf>
    <xf numFmtId="0" fontId="3" fillId="3" borderId="8" applyAlignment="1" pivotButton="0" quotePrefix="0" xfId="0">
      <alignment horizontal="left" vertical="center"/>
    </xf>
    <xf numFmtId="0" fontId="0" fillId="0" borderId="5" pivotButton="0" quotePrefix="0" xfId="0"/>
    <xf numFmtId="0" fontId="4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164" fontId="7" fillId="8" borderId="7" applyAlignment="1" pivotButton="0" quotePrefix="0" xfId="0">
      <alignment horizontal="center" vertical="center" wrapText="1"/>
    </xf>
    <xf numFmtId="164" fontId="6" fillId="7" borderId="7" applyAlignment="1" pivotButton="0" quotePrefix="0" xfId="0">
      <alignment horizontal="center" vertical="center" wrapText="1"/>
    </xf>
    <xf numFmtId="0" fontId="8" fillId="6" borderId="7" pivotButton="0" quotePrefix="0" xfId="0"/>
    <xf numFmtId="0" fontId="8" fillId="7" borderId="7" pivotButton="0" quotePrefix="0" xfId="0"/>
    <xf numFmtId="0" fontId="8" fillId="8" borderId="7" pivotButton="0" quotePrefix="0" xfId="0"/>
    <xf numFmtId="0" fontId="3" fillId="2" borderId="7" applyAlignment="1" pivotButton="0" quotePrefix="0" xfId="0">
      <alignment horizontal="left" vertical="center" wrapText="1"/>
    </xf>
    <xf numFmtId="0" fontId="0" fillId="0" borderId="6" pivotButton="0" quotePrefix="0" xfId="0"/>
    <xf numFmtId="0" fontId="11" fillId="2" borderId="8" applyAlignment="1" pivotButton="0" quotePrefix="0" xfId="0">
      <alignment horizontal="left" vertical="center"/>
    </xf>
    <xf numFmtId="0" fontId="12" fillId="7" borderId="8" applyAlignment="1" pivotButton="0" quotePrefix="0" xfId="0">
      <alignment horizontal="left" vertical="center"/>
    </xf>
    <xf numFmtId="0" fontId="3" fillId="3" borderId="7" applyAlignment="1" pivotButton="0" quotePrefix="0" xfId="0">
      <alignment horizontal="left" vertical="center" wrapText="1"/>
    </xf>
    <xf numFmtId="0" fontId="11" fillId="2" borderId="8" applyAlignment="1" pivotButton="0" quotePrefix="0" xfId="0">
      <alignment horizontal="left" vertical="center" wrapText="1"/>
    </xf>
    <xf numFmtId="0" fontId="23" fillId="14" borderId="11" applyAlignment="1" pivotButton="0" quotePrefix="0" xfId="0">
      <alignment horizontal="left" vertical="center"/>
    </xf>
    <xf numFmtId="0" fontId="24" fillId="15" borderId="11" applyAlignment="1" pivotButton="0" quotePrefix="0" xfId="0">
      <alignment horizontal="left" vertical="center"/>
    </xf>
    <xf numFmtId="0" fontId="0" fillId="16" borderId="8" pivotButton="0" quotePrefix="0" xfId="0"/>
    <xf numFmtId="0" fontId="25" fillId="17" borderId="11" applyAlignment="1" pivotButton="0" quotePrefix="0" xfId="0">
      <alignment horizontal="center" vertical="center" wrapText="1"/>
    </xf>
    <xf numFmtId="0" fontId="25" fillId="18" borderId="11" applyAlignment="1" pivotButton="0" quotePrefix="0" xfId="0">
      <alignment horizontal="center" vertical="center" wrapText="1"/>
    </xf>
    <xf numFmtId="0" fontId="25" fillId="20" borderId="11" applyAlignment="1" pivotButton="0" quotePrefix="0" xfId="0">
      <alignment horizontal="center" vertical="center" wrapText="1"/>
    </xf>
    <xf numFmtId="0" fontId="25" fillId="14" borderId="11" applyAlignment="1" pivotButton="0" quotePrefix="0" xfId="0">
      <alignment horizontal="center" vertical="center" wrapText="1"/>
    </xf>
    <xf numFmtId="0" fontId="26" fillId="15" borderId="11" applyAlignment="1" pivotButton="0" quotePrefix="0" xfId="0">
      <alignment horizontal="center" vertical="center" wrapText="1"/>
    </xf>
    <xf numFmtId="0" fontId="27" fillId="19" borderId="11" applyAlignment="1" pivotButton="0" quotePrefix="0" xfId="0">
      <alignment horizontal="center" vertical="center" wrapText="1"/>
    </xf>
    <xf numFmtId="0" fontId="28" fillId="21" borderId="11" applyAlignment="1" pivotButton="0" quotePrefix="0" xfId="0">
      <alignment horizontal="center" vertical="center" wrapText="1"/>
    </xf>
    <xf numFmtId="0" fontId="29" fillId="22" borderId="11" applyAlignment="1" pivotButton="0" quotePrefix="0" xfId="0">
      <alignment horizontal="center" vertical="center" wrapText="1"/>
    </xf>
    <xf numFmtId="0" fontId="0" fillId="15" borderId="11" pivotButton="0" quotePrefix="0" xfId="0"/>
    <xf numFmtId="0" fontId="0" fillId="19" borderId="11" pivotButton="0" quotePrefix="0" xfId="0"/>
    <xf numFmtId="0" fontId="0" fillId="21" borderId="11" pivotButton="0" quotePrefix="0" xfId="0"/>
    <xf numFmtId="0" fontId="0" fillId="22" borderId="11" pivotButton="0" quotePrefix="0" xfId="0"/>
    <xf numFmtId="0" fontId="30" fillId="14" borderId="11" applyAlignment="1" pivotButton="0" quotePrefix="0" xfId="0">
      <alignment horizontal="left" vertical="center"/>
    </xf>
    <xf numFmtId="0" fontId="25" fillId="23" borderId="11" applyAlignment="1" pivotButton="0" quotePrefix="0" xfId="0">
      <alignment horizontal="center" vertical="center" wrapText="1"/>
    </xf>
    <xf numFmtId="0" fontId="25" fillId="24" borderId="11" applyAlignment="1" pivotButton="0" quotePrefix="0" xfId="0">
      <alignment horizontal="center" vertical="center" wrapText="1"/>
    </xf>
    <xf numFmtId="0" fontId="25" fillId="25" borderId="11" applyAlignment="1" pivotButton="0" quotePrefix="0" xfId="0">
      <alignment horizontal="center" vertical="center" wrapText="1"/>
    </xf>
    <xf numFmtId="0" fontId="31" fillId="14" borderId="11" applyAlignment="1" pivotButton="0" quotePrefix="0" xfId="0">
      <alignment horizontal="center" vertical="center" wrapText="1"/>
    </xf>
    <xf numFmtId="0" fontId="32" fillId="21" borderId="11" applyAlignment="1" pivotButton="0" quotePrefix="0" xfId="0">
      <alignment horizontal="center" vertical="center" wrapText="1"/>
    </xf>
    <xf numFmtId="0" fontId="33" fillId="21" borderId="11" applyAlignment="1" pivotButton="0" quotePrefix="0" xfId="0">
      <alignment horizontal="left" vertical="center" wrapText="1"/>
    </xf>
    <xf numFmtId="0" fontId="24" fillId="15" borderId="11" applyAlignment="1" pivotButton="0" quotePrefix="0" xfId="0">
      <alignment horizontal="center" vertical="center" wrapText="1"/>
    </xf>
    <xf numFmtId="0" fontId="34" fillId="21" borderId="11" applyAlignment="1" pivotButton="0" quotePrefix="0" xfId="0">
      <alignment horizontal="center" vertical="center" wrapText="1"/>
    </xf>
    <xf numFmtId="0" fontId="35" fillId="19" borderId="11" applyAlignment="1" pivotButton="0" quotePrefix="0" xfId="0">
      <alignment horizontal="center" vertical="center" wrapText="1"/>
    </xf>
    <xf numFmtId="0" fontId="36" fillId="26" borderId="11" applyAlignment="1" pivotButton="0" quotePrefix="0" xfId="0">
      <alignment horizontal="center" vertical="center" wrapText="1"/>
    </xf>
    <xf numFmtId="0" fontId="37" fillId="15" borderId="11" applyAlignment="1" pivotButton="0" quotePrefix="0" xfId="0">
      <alignment horizontal="center" vertical="center" wrapText="1"/>
    </xf>
    <xf numFmtId="0" fontId="38" fillId="27" borderId="11" applyAlignment="1" pivotButton="0" quotePrefix="0" xfId="0">
      <alignment horizontal="center" vertical="center" wrapText="1"/>
    </xf>
    <xf numFmtId="0" fontId="39" fillId="14" borderId="11" applyAlignment="1" pivotButton="0" quotePrefix="0" xfId="0">
      <alignment horizontal="center" vertical="center" wrapText="1"/>
    </xf>
    <xf numFmtId="0" fontId="40" fillId="14" borderId="11" applyAlignment="1" pivotButton="0" quotePrefix="0" xfId="0">
      <alignment horizontal="center" vertical="center" wrapText="1"/>
    </xf>
    <xf numFmtId="0" fontId="32" fillId="15" borderId="11" applyAlignment="1" pivotButton="0" quotePrefix="0" xfId="0">
      <alignment horizontal="center" vertical="center" wrapText="1"/>
    </xf>
    <xf numFmtId="0" fontId="33" fillId="15" borderId="11" applyAlignment="1" pivotButton="0" quotePrefix="0" xfId="0">
      <alignment horizontal="left" vertical="center" wrapText="1"/>
    </xf>
    <xf numFmtId="0" fontId="41" fillId="14" borderId="11" applyAlignment="1" pivotButton="0" quotePrefix="0" xfId="0">
      <alignment horizontal="center" vertical="center" wrapText="1"/>
    </xf>
    <xf numFmtId="0" fontId="32" fillId="28" borderId="11" applyAlignment="1" pivotButton="0" quotePrefix="0" xfId="0">
      <alignment horizontal="center" vertical="center" wrapText="1"/>
    </xf>
    <xf numFmtId="0" fontId="33" fillId="28" borderId="11" applyAlignment="1" pivotButton="0" quotePrefix="0" xfId="0">
      <alignment horizontal="left" vertical="center" wrapText="1"/>
    </xf>
    <xf numFmtId="0" fontId="42" fillId="14" borderId="11" applyAlignment="1" pivotButton="0" quotePrefix="0" xfId="0">
      <alignment horizontal="center" vertical="center" wrapText="1"/>
    </xf>
    <xf numFmtId="0" fontId="32" fillId="19" borderId="11" applyAlignment="1" pivotButton="0" quotePrefix="0" xfId="0">
      <alignment horizontal="center" vertical="center" wrapText="1"/>
    </xf>
    <xf numFmtId="0" fontId="33" fillId="19" borderId="11" applyAlignment="1" pivotButton="0" quotePrefix="0" xfId="0">
      <alignment horizontal="left" vertical="center" wrapText="1"/>
    </xf>
    <xf numFmtId="0" fontId="30" fillId="29" borderId="11" applyAlignment="1" pivotButton="0" quotePrefix="0" xfId="0">
      <alignment horizontal="left" vertical="center"/>
    </xf>
    <xf numFmtId="0" fontId="43" fillId="14" borderId="11" applyAlignment="1" pivotButton="0" quotePrefix="0" xfId="0">
      <alignment horizontal="center" vertical="center" wrapText="1"/>
    </xf>
    <xf numFmtId="0" fontId="24" fillId="21" borderId="11" applyAlignment="1" pivotButton="0" quotePrefix="0" xfId="0">
      <alignment horizontal="left" vertical="center" wrapText="1"/>
    </xf>
    <xf numFmtId="0" fontId="32" fillId="21" borderId="11" applyAlignment="1" pivotButton="0" quotePrefix="0" xfId="0">
      <alignment horizontal="left" vertical="center" wrapText="1"/>
    </xf>
    <xf numFmtId="0" fontId="44" fillId="19" borderId="11" applyAlignment="1" pivotButton="0" quotePrefix="0" xfId="0">
      <alignment horizontal="center" vertical="center" wrapText="1"/>
    </xf>
    <xf numFmtId="0" fontId="36" fillId="26" borderId="11" applyAlignment="1" pivotButton="0" quotePrefix="0" xfId="0">
      <alignment horizontal="left" vertical="center" wrapText="1"/>
    </xf>
    <xf numFmtId="0" fontId="45" fillId="14" borderId="11" applyAlignment="1" pivotButton="0" quotePrefix="0" xfId="0">
      <alignment horizontal="center" vertical="center" wrapText="1"/>
    </xf>
    <xf numFmtId="0" fontId="24" fillId="15" borderId="11" applyAlignment="1" pivotButton="0" quotePrefix="0" xfId="0">
      <alignment horizontal="left" vertical="center" wrapText="1"/>
    </xf>
    <xf numFmtId="0" fontId="32" fillId="15" borderId="11" applyAlignment="1" pivotButton="0" quotePrefix="0" xfId="0">
      <alignment horizontal="left" vertical="center" wrapText="1"/>
    </xf>
    <xf numFmtId="0" fontId="46" fillId="14" borderId="11" applyAlignment="1" pivotButton="0" quotePrefix="0" xfId="0">
      <alignment horizontal="center" vertical="center" wrapText="1"/>
    </xf>
    <xf numFmtId="0" fontId="24" fillId="28" borderId="11" applyAlignment="1" pivotButton="0" quotePrefix="0" xfId="0">
      <alignment horizontal="left" vertical="center" wrapText="1"/>
    </xf>
    <xf numFmtId="0" fontId="32" fillId="28" borderId="11" applyAlignment="1" pivotButton="0" quotePrefix="0" xfId="0">
      <alignment horizontal="left" vertical="center" wrapText="1"/>
    </xf>
    <xf numFmtId="0" fontId="44" fillId="14" borderId="11" applyAlignment="1" pivotButton="0" quotePrefix="0" xfId="0">
      <alignment horizontal="center" vertical="center" wrapText="1"/>
    </xf>
    <xf numFmtId="0" fontId="24" fillId="19" borderId="11" applyAlignment="1" pivotButton="0" quotePrefix="0" xfId="0">
      <alignment horizontal="left" vertical="center" wrapText="1"/>
    </xf>
    <xf numFmtId="0" fontId="32" fillId="19" borderId="11" applyAlignment="1" pivotButton="0" quotePrefix="0" xfId="0">
      <alignment horizontal="left" vertical="center" wrapText="1"/>
    </xf>
    <xf numFmtId="0" fontId="47" fillId="14" borderId="11" applyAlignment="1" pivotButton="0" quotePrefix="0" xfId="0">
      <alignment horizontal="center" vertical="center" wrapText="1"/>
    </xf>
    <xf numFmtId="0" fontId="32" fillId="26" borderId="11" applyAlignment="1" pivotButton="0" quotePrefix="0" xfId="0">
      <alignment horizontal="center" vertical="center" wrapText="1"/>
    </xf>
    <xf numFmtId="0" fontId="37" fillId="15" borderId="11" applyAlignment="1" pivotButton="0" quotePrefix="0" xfId="0">
      <alignment horizontal="left" vertical="center" wrapText="1"/>
    </xf>
    <xf numFmtId="0" fontId="32" fillId="26" borderId="11" applyAlignment="1" pivotButton="0" quotePrefix="0" xfId="0">
      <alignment horizontal="left" vertical="center" wrapText="1"/>
    </xf>
    <xf numFmtId="0" fontId="47" fillId="26" borderId="11" applyAlignment="1" pivotButton="0" quotePrefix="0" xfId="0">
      <alignment horizontal="center" vertical="center" wrapText="1"/>
    </xf>
    <xf numFmtId="0" fontId="30" fillId="20" borderId="11" applyAlignment="1" pivotButton="0" quotePrefix="0" xfId="0">
      <alignment horizontal="left" vertical="center"/>
    </xf>
    <xf numFmtId="0" fontId="0" fillId="14" borderId="11" pivotButton="0" quotePrefix="0" xfId="0"/>
    <xf numFmtId="0" fontId="33" fillId="16" borderId="11" applyAlignment="1" pivotButton="0" quotePrefix="0" xfId="0">
      <alignment horizontal="left" vertical="center" wrapText="1"/>
    </xf>
    <xf numFmtId="0" fontId="48" fillId="16" borderId="11" applyAlignment="1" pivotButton="0" quotePrefix="0" xfId="0">
      <alignment horizontal="center" vertical="center" wrapText="1"/>
    </xf>
    <xf numFmtId="0" fontId="32" fillId="16" borderId="11" applyAlignment="1" pivotButton="0" quotePrefix="0" xfId="0">
      <alignment horizontal="left" vertical="center" wrapText="1"/>
    </xf>
    <xf numFmtId="0" fontId="32" fillId="16" borderId="11" applyAlignment="1" pivotButton="0" quotePrefix="0" xfId="0">
      <alignment horizontal="center" vertical="center" wrapText="1"/>
    </xf>
    <xf numFmtId="0" fontId="33" fillId="22" borderId="11" applyAlignment="1" pivotButton="0" quotePrefix="0" xfId="0">
      <alignment horizontal="left" vertical="center" wrapText="1"/>
    </xf>
    <xf numFmtId="0" fontId="48" fillId="22" borderId="11" applyAlignment="1" pivotButton="0" quotePrefix="0" xfId="0">
      <alignment horizontal="center" vertical="center" wrapText="1"/>
    </xf>
    <xf numFmtId="0" fontId="32" fillId="22" borderId="11" applyAlignment="1" pivotButton="0" quotePrefix="0" xfId="0">
      <alignment horizontal="left" vertical="center" wrapText="1"/>
    </xf>
    <xf numFmtId="0" fontId="32" fillId="22" borderId="11" applyAlignment="1" pivotButton="0" quotePrefix="0" xfId="0">
      <alignment horizontal="center" vertical="center" wrapText="1"/>
    </xf>
    <xf numFmtId="0" fontId="30" fillId="18" borderId="11" applyAlignment="1" pivotButton="0" quotePrefix="0" xfId="0">
      <alignment horizontal="left" vertical="center"/>
    </xf>
    <xf numFmtId="0" fontId="31" fillId="14" borderId="11" applyAlignment="1" pivotButton="0" quotePrefix="0" xfId="0">
      <alignment horizontal="left" vertical="center"/>
    </xf>
    <xf numFmtId="0" fontId="42" fillId="14" borderId="11" applyAlignment="1" pivotButton="0" quotePrefix="0" xfId="0">
      <alignment horizontal="left" vertical="center"/>
    </xf>
    <xf numFmtId="0" fontId="49" fillId="14" borderId="11" applyAlignment="1" pivotButton="0" quotePrefix="0" xfId="0">
      <alignment horizontal="left" vertical="center"/>
    </xf>
    <xf numFmtId="0" fontId="41" fillId="14" borderId="11" applyAlignment="1" pivotButton="0" quotePrefix="0" xfId="0">
      <alignment horizontal="left" vertical="center"/>
    </xf>
    <xf numFmtId="0" fontId="50" fillId="14" borderId="11" applyAlignment="1" pivotButton="0" quotePrefix="0" xfId="0">
      <alignment horizontal="left" vertical="center"/>
    </xf>
    <xf numFmtId="0" fontId="32" fillId="30" borderId="11" applyAlignment="1" pivotButton="0" quotePrefix="0" xfId="0">
      <alignment horizontal="left" vertical="center" wrapText="1"/>
    </xf>
    <xf numFmtId="0" fontId="32" fillId="30" borderId="11" applyAlignment="1" pivotButton="0" quotePrefix="0" xfId="0">
      <alignment horizontal="center" vertical="center" wrapText="1"/>
    </xf>
    <xf numFmtId="0" fontId="51" fillId="14" borderId="11" applyAlignment="1" pivotButton="0" quotePrefix="0" xfId="0">
      <alignment horizontal="left" vertical="center"/>
    </xf>
    <xf numFmtId="0" fontId="52" fillId="30" borderId="11" applyAlignment="1" pivotButton="0" quotePrefix="0" xfId="0">
      <alignment horizontal="left" vertical="center"/>
    </xf>
    <xf numFmtId="0" fontId="53" fillId="15" borderId="11" applyAlignment="1" pivotButton="0" quotePrefix="0" xfId="0">
      <alignment horizontal="left" vertical="center" wrapText="1"/>
    </xf>
    <xf numFmtId="0" fontId="54" fillId="21" borderId="11" applyAlignment="1" pivotButton="0" quotePrefix="0" xfId="0">
      <alignment horizontal="left" vertical="center" wrapText="1"/>
    </xf>
    <xf numFmtId="0" fontId="55" fillId="19" borderId="11" applyAlignment="1" pivotButton="0" quotePrefix="0" xfId="0">
      <alignment horizontal="left" vertical="center" wrapText="1"/>
    </xf>
    <xf numFmtId="0" fontId="56" fillId="26" borderId="11" applyAlignment="1" pivotButton="0" quotePrefix="0" xfId="0">
      <alignment horizontal="left" vertical="center" wrapText="1"/>
    </xf>
    <xf numFmtId="0" fontId="57" fillId="30" borderId="11" applyAlignment="1" pivotButton="0" quotePrefix="0" xfId="0">
      <alignment horizontal="left" vertical="center" wrapText="1"/>
    </xf>
    <xf numFmtId="0" fontId="58" fillId="22" borderId="11" applyAlignment="1" pivotButton="0" quotePrefix="0" xfId="0">
      <alignment horizontal="left" vertical="center" wrapText="1"/>
    </xf>
    <xf numFmtId="0" fontId="43" fillId="21" borderId="11" applyAlignment="1" pivotButton="0" quotePrefix="0" xfId="0">
      <alignment horizontal="center" vertical="center" wrapText="1"/>
    </xf>
    <xf numFmtId="0" fontId="59" fillId="30" borderId="11" applyAlignment="1" pivotButton="0" quotePrefix="0" xfId="0">
      <alignment horizontal="center" vertical="center" wrapText="1"/>
    </xf>
    <xf numFmtId="0" fontId="30" fillId="17" borderId="11" applyAlignment="1" pivotButton="0" quotePrefix="0" xfId="0">
      <alignment horizontal="left" vertical="center"/>
    </xf>
    <xf numFmtId="0" fontId="45" fillId="15" borderId="11" applyAlignment="1" pivotButton="0" quotePrefix="0" xfId="0">
      <alignment horizontal="center" vertical="center" wrapText="1"/>
    </xf>
    <xf numFmtId="0" fontId="47" fillId="26" borderId="11" applyAlignment="1" pivotButton="0" quotePrefix="0" xfId="0">
      <alignment horizontal="left" vertical="center" wrapText="1"/>
    </xf>
    <xf numFmtId="0" fontId="30" fillId="31" borderId="11" applyAlignment="1" pivotButton="0" quotePrefix="0" xfId="0">
      <alignment horizontal="left" vertical="center"/>
    </xf>
    <xf numFmtId="0" fontId="46" fillId="28" borderId="11" applyAlignment="1" pivotButton="0" quotePrefix="0" xfId="0">
      <alignment horizontal="center" vertical="center" wrapText="1"/>
    </xf>
    <xf numFmtId="0" fontId="39" fillId="14" borderId="11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dxfs count="3">
    <dxf>
      <font>
        <name val="Arial"/>
        <b val="1"/>
        <color rgb="FFD93025"/>
        <sz val="11"/>
      </font>
      <fill>
        <patternFill patternType="solid">
          <fgColor rgb="FFFDECEA"/>
          <bgColor rgb="FFFDECEA"/>
        </patternFill>
      </fill>
      <border/>
    </dxf>
    <dxf>
      <font>
        <name val="Arial"/>
        <b val="1"/>
        <color rgb="FF00A878"/>
        <sz val="11"/>
      </font>
      <fill>
        <patternFill patternType="solid">
          <fgColor rgb="FFE8F8F3"/>
          <bgColor rgb="FFE8F8F3"/>
        </patternFill>
      </fill>
      <border/>
    </dxf>
    <dxf>
      <font>
        <name val="Arial"/>
        <color rgb="FF2E6FD9"/>
        <sz val="11"/>
      </font>
      <fill>
        <patternFill patternType="solid">
          <fgColor rgb="FFEBF2FD"/>
          <bgColor rgb="FFEBF2F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A1A2E"/>
    <outlinePr summaryBelow="1" summaryRight="1"/>
    <pageSetUpPr/>
  </sheetPr>
  <dimension ref="B2:J44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70" min="1" max="1"/>
    <col width="18" customWidth="1" style="70" min="2" max="2"/>
    <col width="23.86" customWidth="1" style="70" min="3" max="3"/>
    <col width="14" customWidth="1" style="70" min="4" max="4"/>
    <col width="20.29" customWidth="1" style="70" min="5" max="5"/>
    <col width="14" customWidth="1" style="70" min="6" max="10"/>
    <col width="8.710000000000001" customWidth="1" style="70" min="11" max="26"/>
  </cols>
  <sheetData>
    <row r="1" ht="7.5" customHeight="1" s="70"/>
    <row r="2" ht="39.75" customHeight="1" s="70">
      <c r="B2" s="71" t="inlineStr">
        <is>
          <t>🏃 Zone 2 Training Tracker — Trirong</t>
        </is>
      </c>
    </row>
    <row r="3" ht="24" customHeight="1" s="70">
      <c r="B3" s="72" t="inlineStr">
        <is>
          <t>เป้าหมาย: Zone 2 (140–154 bpm) ที่ Pace 7:00 /km ภายในธันวาคม 2026</t>
        </is>
      </c>
    </row>
    <row r="4" ht="12" customHeight="1" s="70"/>
    <row r="5" ht="13.5" customHeight="1" s="70"/>
    <row r="6" ht="31.5" customHeight="1" s="70">
      <c r="B6" s="32" t="inlineStr">
        <is>
          <t>Zone 2
Target HR</t>
        </is>
      </c>
      <c r="C6" s="73" t="n"/>
      <c r="D6" s="24" t="inlineStr">
        <is>
          <t>Resting HR
ปัจจุบัน</t>
        </is>
      </c>
      <c r="E6" s="73" t="n"/>
      <c r="F6" s="74" t="inlineStr">
        <is>
          <t>สัปดาห์นี้
(กม.)</t>
        </is>
      </c>
      <c r="G6" s="73" t="n"/>
      <c r="H6" s="24" t="inlineStr">
        <is>
          <t>Zone 2 %
เฉลี่ย</t>
        </is>
      </c>
      <c r="I6" s="73" t="n"/>
    </row>
    <row r="7" ht="19.5" customHeight="1" s="70">
      <c r="B7" s="75" t="inlineStr">
        <is>
          <t>140–154 bpm</t>
        </is>
      </c>
      <c r="C7" s="73" t="n"/>
      <c r="D7" s="76">
        <f>SETTINGS!C7</f>
        <v/>
      </c>
      <c r="E7" s="73" t="n"/>
      <c r="F7" s="77">
        <f>IFERROR(SUMIF(LOG!D:D,WEEKNUM(TODAY(),2),LOG!G:G),0)</f>
        <v/>
      </c>
      <c r="G7" s="73" t="n"/>
      <c r="H7" s="78">
        <f>IFERROR(AVERAGEIF(LOG!D:D,WEEKNUM(TODAY(),2),LOG!L:L),0)</f>
        <v/>
      </c>
      <c r="I7" s="73" t="n"/>
    </row>
    <row r="8" ht="19.5" customHeight="1" s="70">
      <c r="B8" s="79" t="n"/>
      <c r="C8" s="73" t="n"/>
      <c r="D8" s="80" t="n"/>
      <c r="E8" s="73" t="n"/>
      <c r="F8" s="81" t="n"/>
      <c r="G8" s="73" t="n"/>
      <c r="H8" s="80" t="n"/>
      <c r="I8" s="73" t="n"/>
    </row>
    <row r="9" ht="9.75" customHeight="1" s="70"/>
    <row r="10" ht="13.5" customHeight="1" s="70">
      <c r="B10" s="82" t="inlineStr">
        <is>
          <t>5 ครั้งล่าสุด</t>
        </is>
      </c>
      <c r="C10" s="83" t="n"/>
      <c r="D10" s="83" t="n"/>
      <c r="E10" s="83" t="n"/>
      <c r="F10" s="83" t="n"/>
      <c r="G10" s="83" t="n"/>
      <c r="H10" s="83" t="n"/>
      <c r="I10" s="83" t="n"/>
      <c r="J10" s="73" t="n"/>
    </row>
    <row r="11" ht="21.75" customHeight="1" s="70">
      <c r="B11" s="18" t="inlineStr">
        <is>
          <t>วันที่</t>
        </is>
      </c>
      <c r="C11" s="18" t="inlineStr">
        <is>
          <t>ประเภท</t>
        </is>
      </c>
      <c r="D11" s="18" t="inlineStr">
        <is>
          <t>เวลา (นาที)</t>
        </is>
      </c>
      <c r="E11" s="18" t="inlineStr">
        <is>
          <t>ระยะ (กม.)</t>
        </is>
      </c>
      <c r="F11" s="18" t="inlineStr">
        <is>
          <t>Pace avg</t>
        </is>
      </c>
      <c r="G11" s="18" t="inlineStr">
        <is>
          <t>HR เฉลี่ย</t>
        </is>
      </c>
      <c r="H11" s="18" t="inlineStr">
        <is>
          <t>HR Max</t>
        </is>
      </c>
      <c r="I11" s="18" t="inlineStr">
        <is>
          <t>Zone 2 %</t>
        </is>
      </c>
      <c r="J11" s="18" t="inlineStr">
        <is>
          <t>สถานะ</t>
        </is>
      </c>
    </row>
    <row r="12" ht="19.5" customHeight="1" s="70">
      <c r="B12" s="19">
        <f t="array" ref="B12:B12">IFERROR(INDEX(LOG!C:C,LARGE(IF(LOG!C:C&lt;&gt;"",ROW(LOG!C:C)),5)),"")</f>
        <v/>
      </c>
      <c r="C12" s="20">
        <f t="array" ref="C12:C12">IFERROR(INDEX(LOG!E:E,LARGE(IF(LOG!C:C&lt;&gt;"",ROW(LOG!C:C)),5)),"")</f>
        <v/>
      </c>
      <c r="D12" s="20">
        <f t="array" ref="D12:D12">IFERROR(INDEX(LOG!F:F,LARGE(IF(LOG!C:C&lt;&gt;"",ROW(LOG!C:C)),5)),"")</f>
        <v/>
      </c>
      <c r="E12" s="21">
        <f t="array" ref="E12:E12">IFERROR(INDEX(LOG!G:G,LARGE(IF(LOG!C:C&lt;&gt;"",ROW(LOG!C:C)),5)),"")</f>
        <v/>
      </c>
      <c r="F12" s="20">
        <f t="array" ref="F12:F12">IFERROR(INDEX(LOG!I:I,LARGE(IF(LOG!C:C&lt;&gt;"",ROW(LOG!C:C)),5)),"")</f>
        <v/>
      </c>
      <c r="G12" s="20">
        <f t="array" ref="G12:G12">IFERROR(INDEX(LOG!J:J,LARGE(IF(LOG!C:C&lt;&gt;"",ROW(LOG!C:C)),5)),"")</f>
        <v/>
      </c>
      <c r="H12" s="20">
        <f t="array" ref="H12:H12">IFERROR(INDEX(LOG!K:K,LARGE(IF(LOG!C:C&lt;&gt;"",ROW(LOG!C:C)),5)),"")</f>
        <v/>
      </c>
      <c r="I12" s="22">
        <f t="array" ref="I12:I12">IFERROR(INDEX(LOG!L:L,LARGE(IF(LOG!C:C&lt;&gt;"",ROW(LOG!C:C)),5)),"")</f>
        <v/>
      </c>
      <c r="J12" s="20">
        <f t="array" ref="J12:J12">IFERROR(IF(INDEX(LOG!J:J,LARGE(IF(LOG!C:C&lt;&gt;"",ROW(LOG!C:C)),5))&gt;154,"🔴 เกิน Zone",IF(INDEX(LOG!J:J,LARGE(IF(LOG!C:C&lt;&gt;"",ROW(LOG!C:C)),5))&lt;140,"🔵 ต่ำกว่า","✅ Zone 2"))," ")</f>
        <v/>
      </c>
    </row>
    <row r="13" ht="19.5" customHeight="1" s="70">
      <c r="B13" s="23">
        <f t="array" ref="B13:B13">IFERROR(INDEX(LOG!C:C,LARGE(IF(LOG!C:C&lt;&gt;"",ROW(LOG!C:C)),4)),"")</f>
        <v/>
      </c>
      <c r="C13" s="20">
        <f t="array" ref="C13:C13">IFERROR(INDEX(LOG!E:E,LARGE(IF(LOG!C:C&lt;&gt;"",ROW(LOG!C:C)),4)),"")</f>
        <v/>
      </c>
      <c r="D13" s="20">
        <f t="array" ref="D13:D13">IFERROR(INDEX(LOG!F:F,LARGE(IF(LOG!C:C&lt;&gt;"",ROW(LOG!C:C)),4)),"")</f>
        <v/>
      </c>
      <c r="E13" s="21">
        <f t="array" ref="E13:E13">IFERROR(INDEX(LOG!G:G,LARGE(IF(LOG!C:C&lt;&gt;"",ROW(LOG!C:C)),4)),"")</f>
        <v/>
      </c>
      <c r="F13" s="20">
        <f t="array" ref="F13:F13">IFERROR(INDEX(LOG!I:I,LARGE(IF(LOG!C:C&lt;&gt;"",ROW(LOG!C:C)),4)),"")</f>
        <v/>
      </c>
      <c r="G13" s="20">
        <f t="array" ref="G13:G13">IFERROR(INDEX(LOG!J:J,LARGE(IF(LOG!C:C&lt;&gt;"",ROW(LOG!C:C)),4)),"")</f>
        <v/>
      </c>
      <c r="H13" s="20">
        <f t="array" ref="H13:H13">IFERROR(INDEX(LOG!K:K,LARGE(IF(LOG!C:C&lt;&gt;"",ROW(LOG!C:C)),4)),"")</f>
        <v/>
      </c>
      <c r="I13" s="22">
        <f t="array" ref="I13:I13">IFERROR(INDEX(LOG!L:L,LARGE(IF(LOG!C:C&lt;&gt;"",ROW(LOG!C:C)),4)),"")</f>
        <v/>
      </c>
      <c r="J13" s="20">
        <f t="array" ref="J13:J13">IFERROR(IF(INDEX(LOG!J:J,LARGE(IF(LOG!C:C&lt;&gt;"",ROW(LOG!C:C)),4))&gt;154,"🔴 เกิน Zone",IF(INDEX(LOG!J:J,LARGE(IF(LOG!C:C&lt;&gt;"",ROW(LOG!C:C)),4))&lt;140,"🔵 ต่ำกว่า","✅ Zone 2"))," ")</f>
        <v/>
      </c>
    </row>
    <row r="14" ht="19.5" customHeight="1" s="70">
      <c r="B14" s="19">
        <f t="array" ref="B14:B14">IFERROR(INDEX(LOG!C:C,LARGE(IF(LOG!C:C&lt;&gt;"",ROW(LOG!C:C)),3)),"")</f>
        <v/>
      </c>
      <c r="C14" s="20">
        <f t="array" ref="C14:C14">IFERROR(INDEX(LOG!E:E,LARGE(IF(LOG!C:C&lt;&gt;"",ROW(LOG!C:C)),3)),"")</f>
        <v/>
      </c>
      <c r="D14" s="20">
        <f t="array" ref="D14:D14">IFERROR(INDEX(LOG!F:F,LARGE(IF(LOG!C:C&lt;&gt;"",ROW(LOG!C:C)),3)),"")</f>
        <v/>
      </c>
      <c r="E14" s="21">
        <f t="array" ref="E14:E14">IFERROR(INDEX(LOG!G:G,LARGE(IF(LOG!C:C&lt;&gt;"",ROW(LOG!C:C)),3)),"")</f>
        <v/>
      </c>
      <c r="F14" s="20">
        <f t="array" ref="F14:F14">IFERROR(INDEX(LOG!I:I,LARGE(IF(LOG!C:C&lt;&gt;"",ROW(LOG!C:C)),3)),"")</f>
        <v/>
      </c>
      <c r="G14" s="20">
        <f t="array" ref="G14:G14">IFERROR(INDEX(LOG!J:J,LARGE(IF(LOG!C:C&lt;&gt;"",ROW(LOG!C:C)),3)),"")</f>
        <v/>
      </c>
      <c r="H14" s="20">
        <f t="array" ref="H14:H14">IFERROR(INDEX(LOG!K:K,LARGE(IF(LOG!C:C&lt;&gt;"",ROW(LOG!C:C)),3)),"")</f>
        <v/>
      </c>
      <c r="I14" s="22">
        <f t="array" ref="I14:I14">IFERROR(INDEX(LOG!L:L,LARGE(IF(LOG!C:C&lt;&gt;"",ROW(LOG!C:C)),3)),"")</f>
        <v/>
      </c>
      <c r="J14" s="20">
        <f t="array" ref="J14:J14">IFERROR(IF(INDEX(LOG!J:J,LARGE(IF(LOG!C:C&lt;&gt;"",ROW(LOG!C:C)),3))&gt;154,"🔴 เกิน Zone",IF(INDEX(LOG!J:J,LARGE(IF(LOG!C:C&lt;&gt;"",ROW(LOG!C:C)),3))&lt;140,"🔵 ต่ำกว่า","✅ Zone 2"))," ")</f>
        <v/>
      </c>
    </row>
    <row r="15" ht="19.5" customHeight="1" s="70">
      <c r="B15" s="23">
        <f t="array" ref="B15:B15">IFERROR(INDEX(LOG!C:C,LARGE(IF(LOG!C:C&lt;&gt;"",ROW(LOG!C:C)),2)),"")</f>
        <v/>
      </c>
      <c r="C15" s="20">
        <f t="array" ref="C15:C15">IFERROR(INDEX(LOG!E:E,LARGE(IF(LOG!C:C&lt;&gt;"",ROW(LOG!C:C)),2)),"")</f>
        <v/>
      </c>
      <c r="D15" s="20">
        <f t="array" ref="D15:D15">IFERROR(INDEX(LOG!F:F,LARGE(IF(LOG!C:C&lt;&gt;"",ROW(LOG!C:C)),2)),"")</f>
        <v/>
      </c>
      <c r="E15" s="21">
        <f t="array" ref="E15:E15">IFERROR(INDEX(LOG!G:G,LARGE(IF(LOG!C:C&lt;&gt;"",ROW(LOG!C:C)),2)),"")</f>
        <v/>
      </c>
      <c r="F15" s="20">
        <f t="array" ref="F15:F15">IFERROR(INDEX(LOG!I:I,LARGE(IF(LOG!C:C&lt;&gt;"",ROW(LOG!C:C)),2)),"")</f>
        <v/>
      </c>
      <c r="G15" s="20">
        <f t="array" ref="G15:G15">IFERROR(INDEX(LOG!J:J,LARGE(IF(LOG!C:C&lt;&gt;"",ROW(LOG!C:C)),2)),"")</f>
        <v/>
      </c>
      <c r="H15" s="20">
        <f t="array" ref="H15:H15">IFERROR(INDEX(LOG!K:K,LARGE(IF(LOG!C:C&lt;&gt;"",ROW(LOG!C:C)),2)),"")</f>
        <v/>
      </c>
      <c r="I15" s="22">
        <f t="array" ref="I15:I15">IFERROR(INDEX(LOG!L:L,LARGE(IF(LOG!C:C&lt;&gt;"",ROW(LOG!C:C)),2)),"")</f>
        <v/>
      </c>
      <c r="J15" s="20">
        <f t="array" ref="J15:J15">IFERROR(IF(INDEX(LOG!J:J,LARGE(IF(LOG!C:C&lt;&gt;"",ROW(LOG!C:C)),2))&gt;154,"🔴 เกิน Zone",IF(INDEX(LOG!J:J,LARGE(IF(LOG!C:C&lt;&gt;"",ROW(LOG!C:C)),2))&lt;140,"🔵 ต่ำกว่า","✅ Zone 2"))," ")</f>
        <v/>
      </c>
    </row>
    <row r="16" ht="19.5" customHeight="1" s="70">
      <c r="B16" s="19">
        <f t="array" ref="B16:B16">IFERROR(INDEX(LOG!C:C,LARGE(IF(LOG!C:C&lt;&gt;"",ROW(LOG!C:C)),1)),"")</f>
        <v/>
      </c>
      <c r="C16" s="20">
        <f t="array" ref="C16:C16">IFERROR(INDEX(LOG!E:E,LARGE(IF(LOG!C:C&lt;&gt;"",ROW(LOG!C:C)),1)),"")</f>
        <v/>
      </c>
      <c r="D16" s="20">
        <f t="array" ref="D16:D16">IFERROR(INDEX(LOG!F:F,LARGE(IF(LOG!C:C&lt;&gt;"",ROW(LOG!C:C)),1)),"")</f>
        <v/>
      </c>
      <c r="E16" s="21">
        <f t="array" ref="E16:E16">IFERROR(INDEX(LOG!G:G,LARGE(IF(LOG!C:C&lt;&gt;"",ROW(LOG!C:C)),1)),"")</f>
        <v/>
      </c>
      <c r="F16" s="20">
        <f t="array" ref="F16:F16">IFERROR(INDEX(LOG!I:I,LARGE(IF(LOG!C:C&lt;&gt;"",ROW(LOG!C:C)),1)),"")</f>
        <v/>
      </c>
      <c r="G16" s="20">
        <f t="array" ref="G16:G16">IFERROR(INDEX(LOG!J:J,LARGE(IF(LOG!C:C&lt;&gt;"",ROW(LOG!C:C)),1)),"")</f>
        <v/>
      </c>
      <c r="H16" s="20">
        <f t="array" ref="H16:H16">IFERROR(INDEX(LOG!K:K,LARGE(IF(LOG!C:C&lt;&gt;"",ROW(LOG!C:C)),1)),"")</f>
        <v/>
      </c>
      <c r="I16" s="22">
        <f t="array" ref="I16:I16">IFERROR(INDEX(LOG!L:L,LARGE(IF(LOG!C:C&lt;&gt;"",ROW(LOG!C:C)),1)),"")</f>
        <v/>
      </c>
      <c r="J16" s="20">
        <f t="array" ref="J16:J16">IFERROR(IF(INDEX(LOG!J:J,LARGE(IF(LOG!C:C&lt;&gt;"",ROW(LOG!C:C)),1))&gt;154,"🔴 เกิน Zone",IF(INDEX(LOG!J:J,LARGE(IF(LOG!C:C&lt;&gt;"",ROW(LOG!C:C)),1))&lt;140,"🔵 ต่ำกว่า","✅ Zone 2"))," ")</f>
        <v/>
      </c>
    </row>
    <row r="18" ht="13.5" customHeight="1" s="70">
      <c r="B18" s="82" t="inlineStr">
        <is>
          <t>📈 สรุปรายเดือน</t>
        </is>
      </c>
      <c r="C18" s="83" t="n"/>
      <c r="D18" s="83" t="n"/>
      <c r="E18" s="83" t="n"/>
      <c r="F18" s="83" t="n"/>
      <c r="G18" s="83" t="n"/>
      <c r="H18" s="83" t="n"/>
      <c r="I18" s="83" t="n"/>
      <c r="J18" s="73" t="n"/>
    </row>
    <row r="19" ht="21.75" customHeight="1" s="70">
      <c r="B19" s="24" t="inlineStr">
        <is>
          <t>เดือน</t>
        </is>
      </c>
      <c r="C19" s="24" t="inlineStr">
        <is>
          <t>จำนวนครั้ง</t>
        </is>
      </c>
      <c r="D19" s="24" t="inlineStr">
        <is>
          <t>ระยะรวม (กม.)</t>
        </is>
      </c>
      <c r="E19" s="24" t="inlineStr">
        <is>
          <t>เวลารวม (นาที)</t>
        </is>
      </c>
      <c r="F19" s="24" t="inlineStr">
        <is>
          <t>HR เฉลี่ย</t>
        </is>
      </c>
      <c r="G19" s="24" t="inlineStr">
        <is>
          <t>Zone 2 % เฉลี่ย</t>
        </is>
      </c>
      <c r="H19" s="24" t="inlineStr">
        <is>
          <t>Pace เฉลี่ย</t>
        </is>
      </c>
      <c r="I19" s="24" t="inlineStr">
        <is>
          <t>Long Run max (นาที)</t>
        </is>
      </c>
      <c r="J19" s="24" t="inlineStr">
        <is>
          <t>หมายเหตุ</t>
        </is>
      </c>
    </row>
    <row r="20" ht="19.5" customHeight="1" s="70">
      <c r="B20" s="25" t="inlineStr">
        <is>
          <t>ก.พ. 2026</t>
        </is>
      </c>
      <c r="C20" s="20">
        <f>COUNTIFS(LOG!H:H,2,LOG!C:C,"&lt;&gt;")</f>
        <v/>
      </c>
      <c r="D20" s="21">
        <f>SUMIFS(LOG!G:G,LOG!H:H,2)</f>
        <v/>
      </c>
      <c r="E20" s="20">
        <f>SUMIFS(LOG!F:F,LOG!H:H,2)</f>
        <v/>
      </c>
      <c r="F20" s="26">
        <f>IFERROR(AVERAGEIFS(LOG!J:J,LOG!H:H,2),"-")</f>
        <v/>
      </c>
      <c r="G20" s="22">
        <f>IFERROR(AVERAGEIFS(LOG!L:L,LOG!H:H,2),"-")</f>
        <v/>
      </c>
      <c r="H20" s="21">
        <f>IFERROR(AVERAGEIFS(LOG!M:M,LOG!H:H,2),"-")</f>
        <v/>
      </c>
      <c r="I20" s="20">
        <f>IFERROR(MAXIFS(LOG!F:F,LOG!H:H,2,LOG!E:E,"Long Run"),"-")</f>
        <v/>
      </c>
      <c r="J20" s="20" t="n"/>
    </row>
    <row r="21" ht="19.5" customHeight="1" s="70">
      <c r="B21" s="27" t="inlineStr">
        <is>
          <t>มี.ค. 2026</t>
        </is>
      </c>
      <c r="C21" s="28">
        <f>COUNTIFS(LOG!H:H,3,LOG!C:C,"&lt;&gt;")</f>
        <v/>
      </c>
      <c r="D21" s="29">
        <f>SUMIFS(LOG!G:G,LOG!H:H,3)</f>
        <v/>
      </c>
      <c r="E21" s="28">
        <f>SUMIFS(LOG!F:F,LOG!H:H,3)</f>
        <v/>
      </c>
      <c r="F21" s="30">
        <f>IFERROR(AVERAGEIFS(LOG!J:J,LOG!H:H,3),"-")</f>
        <v/>
      </c>
      <c r="G21" s="31">
        <f>IFERROR(AVERAGEIFS(LOG!L:L,LOG!H:H,3),"-")</f>
        <v/>
      </c>
      <c r="H21" s="29">
        <f>IFERROR(AVERAGEIFS(LOG!M:M,LOG!H:H,3),"-")</f>
        <v/>
      </c>
      <c r="I21" s="28">
        <f>IFERROR(MAXIFS(LOG!F:F,LOG!H:H,3,LOG!E:E,"Long Run"),"-")</f>
        <v/>
      </c>
      <c r="J21" s="28" t="n"/>
    </row>
    <row r="22" ht="19.5" customHeight="1" s="70">
      <c r="B22" s="25" t="inlineStr">
        <is>
          <t>เม.ย. 2026</t>
        </is>
      </c>
      <c r="C22" s="20">
        <f>COUNTIFS(LOG!H:H,4,LOG!C:C,"&lt;&gt;")</f>
        <v/>
      </c>
      <c r="D22" s="21">
        <f>SUMIFS(LOG!G:G,LOG!H:H,4)</f>
        <v/>
      </c>
      <c r="E22" s="20">
        <f>SUMIFS(LOG!F:F,LOG!H:H,4)</f>
        <v/>
      </c>
      <c r="F22" s="26">
        <f>IFERROR(AVERAGEIFS(LOG!J:J,LOG!H:H,4),"-")</f>
        <v/>
      </c>
      <c r="G22" s="22">
        <f>IFERROR(AVERAGEIFS(LOG!L:L,LOG!H:H,4),"-")</f>
        <v/>
      </c>
      <c r="H22" s="21">
        <f>IFERROR(AVERAGEIFS(LOG!M:M,LOG!H:H,4),"-")</f>
        <v/>
      </c>
      <c r="I22" s="20">
        <f>IFERROR(MAXIFS(LOG!F:F,LOG!H:H,4,LOG!E:E,"Long Run"),"-")</f>
        <v/>
      </c>
      <c r="J22" s="20" t="n"/>
    </row>
    <row r="23" ht="19.5" customHeight="1" s="70">
      <c r="B23" s="27" t="inlineStr">
        <is>
          <t>พ.ค. 2026</t>
        </is>
      </c>
      <c r="C23" s="28">
        <f>COUNTIFS(LOG!H:H,5,LOG!C:C,"&lt;&gt;")</f>
        <v/>
      </c>
      <c r="D23" s="29">
        <f>SUMIFS(LOG!G:G,LOG!H:H,5)</f>
        <v/>
      </c>
      <c r="E23" s="28">
        <f>SUMIFS(LOG!F:F,LOG!H:H,5)</f>
        <v/>
      </c>
      <c r="F23" s="30">
        <f>IFERROR(AVERAGEIFS(LOG!J:J,LOG!H:H,5),"-")</f>
        <v/>
      </c>
      <c r="G23" s="31">
        <f>IFERROR(AVERAGEIFS(LOG!L:L,LOG!H:H,5),"-")</f>
        <v/>
      </c>
      <c r="H23" s="29">
        <f>IFERROR(AVERAGEIFS(LOG!M:M,LOG!H:H,5),"-")</f>
        <v/>
      </c>
      <c r="I23" s="28">
        <f>IFERROR(MAXIFS(LOG!F:F,LOG!H:H,5,LOG!E:E,"Long Run"),"-")</f>
        <v/>
      </c>
      <c r="J23" s="28" t="n"/>
    </row>
    <row r="24" ht="19.5" customHeight="1" s="70">
      <c r="B24" s="25" t="inlineStr">
        <is>
          <t>มิ.ย. 2026</t>
        </is>
      </c>
      <c r="C24" s="20">
        <f>COUNTIFS(LOG!H:H,6,LOG!C:C,"&lt;&gt;")</f>
        <v/>
      </c>
      <c r="D24" s="21">
        <f>SUMIFS(LOG!G:G,LOG!H:H,6)</f>
        <v/>
      </c>
      <c r="E24" s="20">
        <f>SUMIFS(LOG!F:F,LOG!H:H,6)</f>
        <v/>
      </c>
      <c r="F24" s="26">
        <f>IFERROR(AVERAGEIFS(LOG!J:J,LOG!H:H,6),"-")</f>
        <v/>
      </c>
      <c r="G24" s="22">
        <f>IFERROR(AVERAGEIFS(LOG!L:L,LOG!H:H,6),"-")</f>
        <v/>
      </c>
      <c r="H24" s="21">
        <f>IFERROR(AVERAGEIFS(LOG!M:M,LOG!H:H,6),"-")</f>
        <v/>
      </c>
      <c r="I24" s="20">
        <f>IFERROR(MAXIFS(LOG!F:F,LOG!H:H,6,LOG!E:E,"Long Run"),"-")</f>
        <v/>
      </c>
      <c r="J24" s="20" t="n"/>
    </row>
    <row r="25" ht="19.5" customHeight="1" s="70">
      <c r="B25" s="27" t="inlineStr">
        <is>
          <t>ก.ค. 2026</t>
        </is>
      </c>
      <c r="C25" s="28">
        <f>COUNTIFS(LOG!H:H,7,LOG!C:C,"&lt;&gt;")</f>
        <v/>
      </c>
      <c r="D25" s="29">
        <f>SUMIFS(LOG!G:G,LOG!H:H,7)</f>
        <v/>
      </c>
      <c r="E25" s="28">
        <f>SUMIFS(LOG!F:F,LOG!H:H,7)</f>
        <v/>
      </c>
      <c r="F25" s="30">
        <f>IFERROR(AVERAGEIFS(LOG!J:J,LOG!H:H,7),"-")</f>
        <v/>
      </c>
      <c r="G25" s="31">
        <f>IFERROR(AVERAGEIFS(LOG!L:L,LOG!H:H,7),"-")</f>
        <v/>
      </c>
      <c r="H25" s="29">
        <f>IFERROR(AVERAGEIFS(LOG!M:M,LOG!H:H,7),"-")</f>
        <v/>
      </c>
      <c r="I25" s="28">
        <f>IFERROR(MAXIFS(LOG!F:F,LOG!H:H,7,LOG!E:E,"Long Run"),"-")</f>
        <v/>
      </c>
      <c r="J25" s="28" t="n"/>
    </row>
    <row r="26" ht="19.5" customHeight="1" s="70">
      <c r="B26" s="25" t="inlineStr">
        <is>
          <t>ส.ค. 2026</t>
        </is>
      </c>
      <c r="C26" s="20">
        <f>COUNTIFS(LOG!H:H,8,LOG!C:C,"&lt;&gt;")</f>
        <v/>
      </c>
      <c r="D26" s="21">
        <f>SUMIFS(LOG!G:G,LOG!H:H,8)</f>
        <v/>
      </c>
      <c r="E26" s="20">
        <f>SUMIFS(LOG!F:F,LOG!H:H,8)</f>
        <v/>
      </c>
      <c r="F26" s="26">
        <f>IFERROR(AVERAGEIFS(LOG!J:J,LOG!H:H,8),"-")</f>
        <v/>
      </c>
      <c r="G26" s="22">
        <f>IFERROR(AVERAGEIFS(LOG!L:L,LOG!H:H,8),"-")</f>
        <v/>
      </c>
      <c r="H26" s="21">
        <f>IFERROR(AVERAGEIFS(LOG!M:M,LOG!H:H,8),"-")</f>
        <v/>
      </c>
      <c r="I26" s="20">
        <f>IFERROR(MAXIFS(LOG!F:F,LOG!H:H,8,LOG!E:E,"Long Run"),"-")</f>
        <v/>
      </c>
      <c r="J26" s="20" t="n"/>
    </row>
    <row r="27" ht="19.5" customHeight="1" s="70">
      <c r="B27" s="27" t="inlineStr">
        <is>
          <t>ก.ย. 2026</t>
        </is>
      </c>
      <c r="C27" s="28">
        <f>COUNTIFS(LOG!H:H,9,LOG!C:C,"&lt;&gt;")</f>
        <v/>
      </c>
      <c r="D27" s="29">
        <f>SUMIFS(LOG!G:G,LOG!H:H,9)</f>
        <v/>
      </c>
      <c r="E27" s="28">
        <f>SUMIFS(LOG!F:F,LOG!H:H,9)</f>
        <v/>
      </c>
      <c r="F27" s="30">
        <f>IFERROR(AVERAGEIFS(LOG!J:J,LOG!H:H,9),"-")</f>
        <v/>
      </c>
      <c r="G27" s="31">
        <f>IFERROR(AVERAGEIFS(LOG!L:L,LOG!H:H,9),"-")</f>
        <v/>
      </c>
      <c r="H27" s="29">
        <f>IFERROR(AVERAGEIFS(LOG!M:M,LOG!H:H,9),"-")</f>
        <v/>
      </c>
      <c r="I27" s="28">
        <f>IFERROR(MAXIFS(LOG!F:F,LOG!H:H,9,LOG!E:E,"Long Run"),"-")</f>
        <v/>
      </c>
      <c r="J27" s="28" t="n"/>
    </row>
    <row r="28" ht="19.5" customHeight="1" s="70">
      <c r="B28" s="25" t="inlineStr">
        <is>
          <t>ต.ค. 2026</t>
        </is>
      </c>
      <c r="C28" s="20">
        <f>COUNTIFS(LOG!H:H,10,LOG!C:C,"&lt;&gt;")</f>
        <v/>
      </c>
      <c r="D28" s="21">
        <f>SUMIFS(LOG!G:G,LOG!H:H,10)</f>
        <v/>
      </c>
      <c r="E28" s="20">
        <f>SUMIFS(LOG!F:F,LOG!H:H,10)</f>
        <v/>
      </c>
      <c r="F28" s="26">
        <f>IFERROR(AVERAGEIFS(LOG!J:J,LOG!H:H,10),"-")</f>
        <v/>
      </c>
      <c r="G28" s="22">
        <f>IFERROR(AVERAGEIFS(LOG!L:L,LOG!H:H,10),"-")</f>
        <v/>
      </c>
      <c r="H28" s="21">
        <f>IFERROR(AVERAGEIFS(LOG!M:M,LOG!H:H,10),"-")</f>
        <v/>
      </c>
      <c r="I28" s="20">
        <f>IFERROR(MAXIFS(LOG!F:F,LOG!H:H,10,LOG!E:E,"Long Run"),"-")</f>
        <v/>
      </c>
      <c r="J28" s="20" t="n"/>
    </row>
    <row r="29" ht="19.5" customHeight="1" s="70">
      <c r="B29" s="27" t="inlineStr">
        <is>
          <t>พ.ย. 2026</t>
        </is>
      </c>
      <c r="C29" s="28">
        <f>COUNTIFS(LOG!H:H,11,LOG!C:C,"&lt;&gt;")</f>
        <v/>
      </c>
      <c r="D29" s="29">
        <f>SUMIFS(LOG!G:G,LOG!H:H,11)</f>
        <v/>
      </c>
      <c r="E29" s="28">
        <f>SUMIFS(LOG!F:F,LOG!H:H,11)</f>
        <v/>
      </c>
      <c r="F29" s="30">
        <f>IFERROR(AVERAGEIFS(LOG!J:J,LOG!H:H,11),"-")</f>
        <v/>
      </c>
      <c r="G29" s="31">
        <f>IFERROR(AVERAGEIFS(LOG!L:L,LOG!H:H,11),"-")</f>
        <v/>
      </c>
      <c r="H29" s="29">
        <f>IFERROR(AVERAGEIFS(LOG!M:M,LOG!H:H,11),"-")</f>
        <v/>
      </c>
      <c r="I29" s="28">
        <f>IFERROR(MAXIFS(LOG!F:F,LOG!H:H,11,LOG!E:E,"Long Run"),"-")</f>
        <v/>
      </c>
      <c r="J29" s="28" t="n"/>
    </row>
    <row r="30" ht="19.5" customHeight="1" s="70">
      <c r="B30" s="25" t="inlineStr">
        <is>
          <t>ธ.ค. 2026</t>
        </is>
      </c>
      <c r="C30" s="20">
        <f>COUNTIFS(LOG!H:H,12,LOG!C:C,"&lt;&gt;")</f>
        <v/>
      </c>
      <c r="D30" s="21">
        <f>SUMIFS(LOG!G:G,LOG!H:H,12)</f>
        <v/>
      </c>
      <c r="E30" s="20">
        <f>SUMIFS(LOG!F:F,LOG!H:H,12)</f>
        <v/>
      </c>
      <c r="F30" s="26">
        <f>IFERROR(AVERAGEIFS(LOG!J:J,LOG!H:H,12),"-")</f>
        <v/>
      </c>
      <c r="G30" s="22">
        <f>IFERROR(AVERAGEIFS(LOG!L:L,LOG!H:H,12),"-")</f>
        <v/>
      </c>
      <c r="H30" s="21">
        <f>IFERROR(AVERAGEIFS(LOG!M:M,LOG!H:H,12),"-")</f>
        <v/>
      </c>
      <c r="I30" s="20">
        <f>IFERROR(MAXIFS(LOG!F:F,LOG!H:H,12,LOG!E:E,"Long Run"),"-")</f>
        <v/>
      </c>
      <c r="J30" s="20" t="n"/>
    </row>
    <row r="31" ht="15.75" customHeight="1" s="70"/>
    <row r="32" ht="13.5" customHeight="1" s="70">
      <c r="B32" s="82" t="inlineStr">
        <is>
          <t>🎯 Progress to Goal: Pace 7:00 /km</t>
        </is>
      </c>
      <c r="C32" s="83" t="n"/>
      <c r="D32" s="83" t="n"/>
      <c r="E32" s="83" t="n"/>
      <c r="F32" s="83" t="n"/>
      <c r="G32" s="83" t="n"/>
      <c r="H32" s="83" t="n"/>
      <c r="I32" s="83" t="n"/>
      <c r="J32" s="73" t="n"/>
    </row>
    <row r="33" ht="21.75" customHeight="1" s="70">
      <c r="B33" s="32" t="inlineStr">
        <is>
          <t>เดือน</t>
        </is>
      </c>
      <c r="C33" s="32" t="inlineStr">
        <is>
          <t>Zone 2 Pace (นาที/กม.)</t>
        </is>
      </c>
      <c r="D33" s="32" t="inlineStr">
        <is>
          <t>HR ที่ Pace 7:00</t>
        </is>
      </c>
      <c r="E33" s="32" t="inlineStr">
        <is>
          <t>ห่างจากเป้า (วิ/กม.)</t>
        </is>
      </c>
      <c r="F33" s="32" t="inlineStr">
        <is>
          <t>Zone 2 %</t>
        </is>
      </c>
    </row>
    <row r="34" ht="19.5" customHeight="1" s="70">
      <c r="B34" s="33" t="inlineStr">
        <is>
          <t>ก.พ. 2026</t>
        </is>
      </c>
      <c r="C34" s="34" t="n">
        <v>11.5</v>
      </c>
      <c r="D34" s="35" t="n"/>
      <c r="E34" s="36">
        <f>IFERROR((11.5-7)*60,"")</f>
        <v/>
      </c>
      <c r="F34" s="37" t="n">
        <v>0.72</v>
      </c>
    </row>
    <row r="35" ht="19.5" customHeight="1" s="70">
      <c r="B35" s="27" t="inlineStr">
        <is>
          <t>มี.ค. 2026</t>
        </is>
      </c>
      <c r="C35" s="28" t="n"/>
      <c r="D35" s="28" t="n"/>
      <c r="E35" s="28" t="n"/>
      <c r="F35" s="28" t="n"/>
    </row>
    <row r="36" ht="19.5" customHeight="1" s="70">
      <c r="B36" s="25" t="inlineStr">
        <is>
          <t>เม.ย. 2026</t>
        </is>
      </c>
      <c r="C36" s="20" t="n"/>
      <c r="D36" s="20" t="n"/>
      <c r="E36" s="20" t="n"/>
      <c r="F36" s="20" t="n"/>
    </row>
    <row r="37" ht="19.5" customHeight="1" s="70">
      <c r="B37" s="27" t="inlineStr">
        <is>
          <t>พ.ค. 2026</t>
        </is>
      </c>
      <c r="C37" s="28" t="n"/>
      <c r="D37" s="28" t="n"/>
      <c r="E37" s="28" t="n"/>
      <c r="F37" s="28" t="n"/>
    </row>
    <row r="38" ht="19.5" customHeight="1" s="70">
      <c r="B38" s="25" t="inlineStr">
        <is>
          <t>มิ.ย. 2026</t>
        </is>
      </c>
      <c r="C38" s="20" t="n"/>
      <c r="D38" s="20" t="n"/>
      <c r="E38" s="20" t="n"/>
      <c r="F38" s="20" t="n"/>
    </row>
    <row r="39" ht="19.5" customHeight="1" s="70">
      <c r="B39" s="27" t="inlineStr">
        <is>
          <t>ก.ค. 2026</t>
        </is>
      </c>
      <c r="C39" s="28" t="n"/>
      <c r="D39" s="28" t="n"/>
      <c r="E39" s="28" t="n"/>
      <c r="F39" s="28" t="n"/>
    </row>
    <row r="40" ht="19.5" customHeight="1" s="70">
      <c r="B40" s="25" t="inlineStr">
        <is>
          <t>ส.ค. 2026</t>
        </is>
      </c>
      <c r="C40" s="20" t="n"/>
      <c r="D40" s="20" t="n"/>
      <c r="E40" s="20" t="n"/>
      <c r="F40" s="20" t="n"/>
    </row>
    <row r="41" ht="19.5" customHeight="1" s="70">
      <c r="B41" s="27" t="inlineStr">
        <is>
          <t>ก.ย. 2026</t>
        </is>
      </c>
      <c r="C41" s="28" t="n"/>
      <c r="D41" s="28" t="n"/>
      <c r="E41" s="28" t="n"/>
      <c r="F41" s="28" t="n"/>
    </row>
    <row r="42" ht="19.5" customHeight="1" s="70">
      <c r="B42" s="25" t="inlineStr">
        <is>
          <t>ต.ค. 2026</t>
        </is>
      </c>
      <c r="C42" s="20" t="n"/>
      <c r="D42" s="20" t="n"/>
      <c r="E42" s="20" t="n"/>
      <c r="F42" s="20" t="n"/>
    </row>
    <row r="43" ht="19.5" customHeight="1" s="70">
      <c r="B43" s="27" t="inlineStr">
        <is>
          <t>พ.ย. 2026</t>
        </is>
      </c>
      <c r="C43" s="28" t="n"/>
      <c r="D43" s="28" t="n"/>
      <c r="E43" s="28" t="n"/>
      <c r="F43" s="28" t="n"/>
    </row>
    <row r="44" ht="19.5" customHeight="1" s="70">
      <c r="B44" s="25" t="inlineStr">
        <is>
          <t>ธ.ค. 2026</t>
        </is>
      </c>
      <c r="C44" s="20" t="n"/>
      <c r="D44" s="20" t="n"/>
      <c r="E44" s="20" t="n"/>
      <c r="F44" s="20" t="n"/>
    </row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17">
    <mergeCell ref="D8:E8"/>
    <mergeCell ref="D6:E6"/>
    <mergeCell ref="B6:C6"/>
    <mergeCell ref="B3:J3"/>
    <mergeCell ref="H6:I6"/>
    <mergeCell ref="B7:C7"/>
    <mergeCell ref="D7:E7"/>
    <mergeCell ref="B10:J10"/>
    <mergeCell ref="H7:I7"/>
    <mergeCell ref="B32:J32"/>
    <mergeCell ref="B18:J18"/>
    <mergeCell ref="F6:G6"/>
    <mergeCell ref="B2:J2"/>
    <mergeCell ref="H8:I8"/>
    <mergeCell ref="B8:C8"/>
    <mergeCell ref="F7:G7"/>
    <mergeCell ref="F8:G8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B1:N52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5" customWidth="1" style="70" min="1" max="1"/>
    <col width="10" customWidth="1" style="70" min="2" max="2"/>
    <col width="8" customWidth="1" style="70" min="3" max="3"/>
    <col width="14" customWidth="1" style="70" min="4" max="4"/>
    <col width="28" customWidth="1" style="70" min="5" max="5"/>
    <col width="14" customWidth="1" style="70" min="6" max="6"/>
    <col width="14" customWidth="1" style="70" min="7" max="7"/>
    <col width="13" customWidth="1" style="70" min="8" max="8"/>
    <col width="12" customWidth="1" style="70" min="9" max="9"/>
    <col width="12" customWidth="1" style="70" min="10" max="10"/>
    <col width="12" customWidth="1" style="70" min="11" max="11"/>
    <col width="12" customWidth="1" style="70" min="12" max="12"/>
    <col width="12" customWidth="1" style="70" min="13" max="13"/>
    <col width="28" customWidth="1" style="70" min="14" max="14"/>
  </cols>
  <sheetData>
    <row r="1" ht="36" customHeight="1" s="70">
      <c r="B1" s="88" t="inlineStr">
        <is>
          <t>🗓️  Zone 2 Training Plan 2026 — แผนเต็มปี</t>
        </is>
      </c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1" t="n"/>
    </row>
    <row r="2" ht="18" customHeight="1" s="70">
      <c r="B2" s="89" t="inlineStr">
        <is>
          <t>เป้าหมาย: Zone 2 (140-154 bpm) ที่ Pace 7:00 /km  ·  Trirong Bamrungketaudom  ·  อายุ 27  ·  COROS Pace Pro</t>
        </is>
      </c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1" t="n"/>
    </row>
    <row r="3" ht="7" customHeight="1" s="70"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90" t="n"/>
      <c r="N3" s="90" t="n"/>
    </row>
    <row r="4">
      <c r="B4" s="91" t="inlineStr">
        <is>
          <t>Zone 2 HR Range</t>
        </is>
      </c>
      <c r="C4" s="180" t="n"/>
      <c r="D4" s="181" t="n"/>
      <c r="E4" s="92" t="inlineStr">
        <is>
          <t>Pace ตอนนี้</t>
        </is>
      </c>
      <c r="F4" s="181" t="n"/>
      <c r="G4" s="91" t="inlineStr">
        <is>
          <t>Pace เป้าหมาย</t>
        </is>
      </c>
      <c r="H4" s="181" t="n"/>
      <c r="I4" s="93" t="inlineStr">
        <is>
          <t>ระยะเวลา</t>
        </is>
      </c>
      <c r="J4" s="181" t="n"/>
      <c r="K4" s="94" t="inlineStr">
        <is>
          <t>Max HR / HRR</t>
        </is>
      </c>
      <c r="L4" s="180" t="n"/>
      <c r="M4" s="181" t="n"/>
    </row>
    <row r="5" ht="26" customHeight="1" s="70">
      <c r="B5" s="95">
        <f>SETTINGS!C11&amp;" - "&amp;SETTINGS!C12&amp;" bpm"</f>
        <v/>
      </c>
      <c r="C5" s="180" t="n"/>
      <c r="D5" s="181" t="n"/>
      <c r="E5" s="96" t="inlineStr">
        <is>
          <t>~11:30 /km (Zone 2)</t>
        </is>
      </c>
      <c r="F5" s="181" t="n"/>
      <c r="G5" s="95" t="inlineStr">
        <is>
          <t>7:00 /km</t>
        </is>
      </c>
      <c r="H5" s="181" t="n"/>
      <c r="I5" s="97" t="inlineStr">
        <is>
          <t>มี.ค.-ธ.ค. 2026</t>
        </is>
      </c>
      <c r="J5" s="181" t="n"/>
      <c r="K5" s="98">
        <f>"Max HR: "&amp;SETTINGS!C8&amp;"  |  HRR: "&amp;SETTINGS!C9</f>
        <v/>
      </c>
      <c r="L5" s="180" t="n"/>
      <c r="M5" s="181" t="n"/>
    </row>
    <row r="6" ht="8" customHeight="1" s="70">
      <c r="B6" s="99" t="n"/>
      <c r="C6" s="180" t="n"/>
      <c r="D6" s="181" t="n"/>
      <c r="E6" s="100" t="n"/>
      <c r="F6" s="181" t="n"/>
      <c r="G6" s="99" t="n"/>
      <c r="H6" s="181" t="n"/>
      <c r="I6" s="101" t="n"/>
      <c r="J6" s="181" t="n"/>
      <c r="K6" s="102" t="n"/>
      <c r="L6" s="180" t="n"/>
      <c r="M6" s="181" t="n"/>
    </row>
    <row r="7" ht="7" customHeight="1" s="70">
      <c r="B7" s="90" t="n"/>
      <c r="C7" s="90" t="n"/>
      <c r="D7" s="90" t="n"/>
      <c r="E7" s="90" t="n"/>
      <c r="F7" s="90" t="n"/>
      <c r="G7" s="90" t="n"/>
      <c r="H7" s="90" t="n"/>
      <c r="I7" s="90" t="n"/>
      <c r="J7" s="90" t="n"/>
      <c r="K7" s="90" t="n"/>
      <c r="L7" s="90" t="n"/>
      <c r="M7" s="90" t="n"/>
      <c r="N7" s="90" t="n"/>
    </row>
    <row r="8" ht="24" customHeight="1" s="70">
      <c r="B8" s="103" t="inlineStr">
        <is>
          <t xml:space="preserve">  4 Phases Overview</t>
        </is>
      </c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1" t="n"/>
    </row>
    <row r="9" ht="30" customHeight="1" s="70">
      <c r="B9" s="104" t="inlineStr">
        <is>
          <t>Phase</t>
        </is>
      </c>
      <c r="C9" s="94" t="inlineStr">
        <is>
          <t>Wk</t>
        </is>
      </c>
      <c r="D9" s="94" t="inlineStr">
        <is>
          <t>ช่วง</t>
        </is>
      </c>
      <c r="E9" s="94" t="inlineStr">
        <is>
          <t>เป้าหมายหลัก</t>
        </is>
      </c>
      <c r="F9" s="91" t="inlineStr">
        <is>
          <t>Easy Run</t>
        </is>
      </c>
      <c r="G9" s="93" t="inlineStr">
        <is>
          <t>Long Run</t>
        </is>
      </c>
      <c r="H9" s="92" t="inlineStr">
        <is>
          <t>Strides</t>
        </is>
      </c>
      <c r="I9" s="105" t="inlineStr">
        <is>
          <t>Tempo</t>
        </is>
      </c>
      <c r="J9" s="91" t="inlineStr">
        <is>
          <t>Zone 2
%</t>
        </is>
      </c>
      <c r="K9" s="91" t="inlineStr">
        <is>
          <t>Pace Z2
เป้า</t>
        </is>
      </c>
      <c r="L9" s="106" t="inlineStr">
        <is>
          <t>km/wk
เป้า</t>
        </is>
      </c>
      <c r="M9" s="106" t="inlineStr">
        <is>
          <t>เพิ่ม km
%/wk</t>
        </is>
      </c>
      <c r="N9" s="94" t="inlineStr">
        <is>
          <t>Milestone</t>
        </is>
      </c>
    </row>
    <row r="10" ht="50" customHeight="1" s="70">
      <c r="B10" s="107" t="inlineStr">
        <is>
          <t>Phase 1</t>
        </is>
      </c>
      <c r="C10" s="108" t="inlineStr">
        <is>
          <t>1-6</t>
        </is>
      </c>
      <c r="D10" s="108" t="inlineStr">
        <is>
          <t>มี.ค.-เม.ย.</t>
        </is>
      </c>
      <c r="E10" s="109" t="inlineStr">
        <is>
          <t>สร้าง Aerobic Base
Zone 2 เคร่งครัด 100%</t>
        </is>
      </c>
      <c r="F10" s="110" t="inlineStr">
        <is>
          <t>45-65 นาที
3x/สัปดาห์</t>
        </is>
      </c>
      <c r="G10" s="111" t="inlineStr">
        <is>
          <t>80-100 นาที
1x/สัปดาห์</t>
        </is>
      </c>
      <c r="H10" s="112" t="inlineStr">
        <is>
          <t>4x20วิ</t>
        </is>
      </c>
      <c r="I10" s="113" t="inlineStr">
        <is>
          <t>---</t>
        </is>
      </c>
      <c r="J10" s="114" t="inlineStr">
        <is>
          <t>&gt;=80%</t>
        </is>
      </c>
      <c r="K10" s="114" t="inlineStr">
        <is>
          <t>11:00-12:30</t>
        </is>
      </c>
      <c r="L10" s="115" t="inlineStr">
        <is>
          <t>25-33</t>
        </is>
      </c>
      <c r="M10" s="115" t="inlineStr">
        <is>
          <t>&lt;=10%</t>
        </is>
      </c>
      <c r="N10" s="116" t="inlineStr">
        <is>
          <t>Long run 90+ นาที
อยู่ใน Zone 2 ตลอด</t>
        </is>
      </c>
    </row>
    <row r="11" ht="50" customHeight="1" s="70">
      <c r="B11" s="117" t="inlineStr">
        <is>
          <t>Phase 2</t>
        </is>
      </c>
      <c r="C11" s="118" t="inlineStr">
        <is>
          <t>7-14</t>
        </is>
      </c>
      <c r="D11" s="118" t="inlineStr">
        <is>
          <t>พ.ค.-มิ.ย.</t>
        </is>
      </c>
      <c r="E11" s="119" t="inlineStr">
        <is>
          <t>เพิ่ม Volume
สังเกต aerobic efficiency</t>
        </is>
      </c>
      <c r="F11" s="110" t="inlineStr">
        <is>
          <t>55-75 นาที
3x/สัปดาห์</t>
        </is>
      </c>
      <c r="G11" s="111" t="inlineStr">
        <is>
          <t>100-110 นาที
1x/สัปดาห์</t>
        </is>
      </c>
      <c r="H11" s="112" t="inlineStr">
        <is>
          <t>6x20วิ</t>
        </is>
      </c>
      <c r="I11" s="113" t="inlineStr">
        <is>
          <t>---</t>
        </is>
      </c>
      <c r="J11" s="114" t="inlineStr">
        <is>
          <t>&gt;=82%</t>
        </is>
      </c>
      <c r="K11" s="114" t="inlineStr">
        <is>
          <t>10:00-11:00</t>
        </is>
      </c>
      <c r="L11" s="115" t="inlineStr">
        <is>
          <t>30-38</t>
        </is>
      </c>
      <c r="M11" s="115" t="inlineStr">
        <is>
          <t>&lt;=10%</t>
        </is>
      </c>
      <c r="N11" s="116" t="inlineStr">
        <is>
          <t>Pace Zone 2
เร็วขึ้น ~30วิ/กม.</t>
        </is>
      </c>
    </row>
    <row r="12" ht="50" customHeight="1" s="70">
      <c r="B12" s="120" t="inlineStr">
        <is>
          <t>Phase 3</t>
        </is>
      </c>
      <c r="C12" s="121" t="inlineStr">
        <is>
          <t>15-22</t>
        </is>
      </c>
      <c r="D12" s="121" t="inlineStr">
        <is>
          <t>ก.ค.-ส.ค.</t>
        </is>
      </c>
      <c r="E12" s="122" t="inlineStr">
        <is>
          <t>Neuromuscular Speed
Strides + Tempo</t>
        </is>
      </c>
      <c r="F12" s="110" t="inlineStr">
        <is>
          <t>65-80 นาที
3x/สัปดาห์</t>
        </is>
      </c>
      <c r="G12" s="111" t="inlineStr">
        <is>
          <t>110-120 นาที
1x/สัปดาห์</t>
        </is>
      </c>
      <c r="H12" s="112" t="inlineStr">
        <is>
          <t>8x20วิ
2x/wk</t>
        </is>
      </c>
      <c r="I12" s="113" t="inlineStr">
        <is>
          <t>20 นาที
1x/2wk</t>
        </is>
      </c>
      <c r="J12" s="114" t="inlineStr">
        <is>
          <t>&gt;=83%</t>
        </is>
      </c>
      <c r="K12" s="114" t="inlineStr">
        <is>
          <t>8:30-10:00</t>
        </is>
      </c>
      <c r="L12" s="115" t="inlineStr">
        <is>
          <t>35-43</t>
        </is>
      </c>
      <c r="M12" s="115" t="inlineStr">
        <is>
          <t>&lt;=10%</t>
        </is>
      </c>
      <c r="N12" s="116" t="inlineStr">
        <is>
          <t>Tempo pace
8:00-8:30</t>
        </is>
      </c>
    </row>
    <row r="13" ht="50" customHeight="1" s="70">
      <c r="B13" s="123" t="inlineStr">
        <is>
          <t>Phase 4</t>
        </is>
      </c>
      <c r="C13" s="124" t="inlineStr">
        <is>
          <t>23-36</t>
        </is>
      </c>
      <c r="D13" s="124" t="inlineStr">
        <is>
          <t>ก.ย.-ธ.ค.</t>
        </is>
      </c>
      <c r="E13" s="125" t="inlineStr">
        <is>
          <t>จบที่ Pace 7:00
Zone 2 Benchmark</t>
        </is>
      </c>
      <c r="F13" s="110" t="inlineStr">
        <is>
          <t>70-80 นาที
3x/สัปดาห์</t>
        </is>
      </c>
      <c r="G13" s="111" t="inlineStr">
        <is>
          <t>120+ นาที
1x/สัปดาห์</t>
        </is>
      </c>
      <c r="H13" s="112" t="inlineStr">
        <is>
          <t>8x20วิ
2x/wk</t>
        </is>
      </c>
      <c r="I13" s="113" t="inlineStr">
        <is>
          <t>25 นาที
1x/wk</t>
        </is>
      </c>
      <c r="J13" s="114" t="inlineStr">
        <is>
          <t>&gt;=85%</t>
        </is>
      </c>
      <c r="K13" s="114" t="inlineStr">
        <is>
          <t>7:00-9:00</t>
        </is>
      </c>
      <c r="L13" s="115" t="inlineStr">
        <is>
          <t>40-48</t>
        </is>
      </c>
      <c r="M13" s="115" t="inlineStr">
        <is>
          <t>&lt;=8%</t>
        </is>
      </c>
      <c r="N13" s="116" t="inlineStr">
        <is>
          <t>Zone 2
Pace 7:00 /km</t>
        </is>
      </c>
    </row>
    <row r="14" ht="7" customHeight="1" s="70"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</row>
    <row r="15" ht="24" customHeight="1" s="70">
      <c r="B15" s="126" t="inlineStr">
        <is>
          <t xml:space="preserve">  Milestones รายเดือน</t>
        </is>
      </c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1" t="n"/>
    </row>
    <row r="16" ht="30" customHeight="1" s="70">
      <c r="B16" s="94" t="inlineStr">
        <is>
          <t>เดือน</t>
        </is>
      </c>
      <c r="C16" s="104" t="inlineStr">
        <is>
          <t>Phase</t>
        </is>
      </c>
      <c r="D16" s="91" t="inlineStr">
        <is>
          <t>เป้าหมาย</t>
        </is>
      </c>
      <c r="E16" s="93" t="inlineStr">
        <is>
          <t>KPI</t>
        </is>
      </c>
      <c r="F16" s="91" t="inlineStr">
        <is>
          <t>Pace Z2
เป้า</t>
        </is>
      </c>
      <c r="G16" s="92" t="inlineStr">
        <is>
          <t>HR
เป้า</t>
        </is>
      </c>
      <c r="H16" s="93" t="inlineStr">
        <is>
          <t>Long Run
(นาที)</t>
        </is>
      </c>
      <c r="I16" s="91" t="inlineStr">
        <is>
          <t>Zone 2 %
เป้า</t>
        </is>
      </c>
      <c r="J16" s="106" t="inlineStr">
        <is>
          <t>km/wk
เป้า</t>
        </is>
      </c>
      <c r="K16" s="105" t="inlineStr">
        <is>
          <t>Benchmark
Test</t>
        </is>
      </c>
      <c r="L16" s="94" t="inlineStr">
        <is>
          <t>วิธีทดสอบ</t>
        </is>
      </c>
      <c r="M16" s="94" t="inlineStr">
        <is>
          <t>หมายเหตุ</t>
        </is>
      </c>
      <c r="N16" s="94" t="inlineStr">
        <is>
          <t>สัญญาณเตือน</t>
        </is>
      </c>
    </row>
    <row r="17" ht="40" customHeight="1" s="70">
      <c r="B17" s="127" t="inlineStr">
        <is>
          <t>มี.ค.</t>
        </is>
      </c>
      <c r="C17" s="108" t="inlineStr">
        <is>
          <t>P1</t>
        </is>
      </c>
      <c r="D17" s="128" t="inlineStr">
        <is>
          <t>สร้างนิสัย Zone 2</t>
        </is>
      </c>
      <c r="E17" s="129" t="inlineStr">
        <is>
          <t>Long run 80+ นาที
Zone 2 ตลอด</t>
        </is>
      </c>
      <c r="F17" s="114" t="inlineStr">
        <is>
          <t>12:00</t>
        </is>
      </c>
      <c r="G17" s="130" t="inlineStr">
        <is>
          <t>140-154</t>
        </is>
      </c>
      <c r="H17" s="111" t="inlineStr">
        <is>
          <t>80</t>
        </is>
      </c>
      <c r="I17" s="110" t="inlineStr">
        <is>
          <t>&gt;=80%</t>
        </is>
      </c>
      <c r="J17" s="115" t="inlineStr">
        <is>
          <t>25-30</t>
        </is>
      </c>
      <c r="K17" s="108" t="inlineStr">
        <is>
          <t>---</t>
        </is>
      </c>
      <c r="L17" s="129" t="inlineStr">
        <is>
          <t>บันทึก RHR ทุกวัน</t>
        </is>
      </c>
      <c r="M17" s="129" t="inlineStr">
        <is>
          <t>Long run HR &gt; 154 ตลอด = ชะลอ</t>
        </is>
      </c>
      <c r="N17" s="131" t="inlineStr">
        <is>
          <t>Long run HR &gt; 154 ตลอด = ชะลอ</t>
        </is>
      </c>
    </row>
    <row r="18" ht="40" customHeight="1" s="70">
      <c r="B18" s="127" t="inlineStr">
        <is>
          <t>เม.ย.</t>
        </is>
      </c>
      <c r="C18" s="108" t="inlineStr">
        <is>
          <t>P1</t>
        </is>
      </c>
      <c r="D18" s="128" t="inlineStr">
        <is>
          <t>Zone 2 สม่ำเสมอ</t>
        </is>
      </c>
      <c r="E18" s="129" t="inlineStr">
        <is>
          <t>Zone 2% &gt;=80%
ทุก session</t>
        </is>
      </c>
      <c r="F18" s="114" t="inlineStr">
        <is>
          <t>11:30</t>
        </is>
      </c>
      <c r="G18" s="130" t="inlineStr">
        <is>
          <t>140-154</t>
        </is>
      </c>
      <c r="H18" s="111" t="inlineStr">
        <is>
          <t>90</t>
        </is>
      </c>
      <c r="I18" s="110" t="inlineStr">
        <is>
          <t>&gt;=80%</t>
        </is>
      </c>
      <c r="J18" s="115" t="inlineStr">
        <is>
          <t>28-33</t>
        </is>
      </c>
      <c r="K18" s="108" t="inlineStr">
        <is>
          <t>Cardiac Drift Test</t>
        </is>
      </c>
      <c r="L18" s="129" t="inlineStr">
        <is>
          <t>HR เพิ่มขึ้นเท่าไหร่ใน 60 นาที</t>
        </is>
      </c>
      <c r="M18" s="129" t="inlineStr">
        <is>
          <t>HR ไม่ลดลงใน Easy = พักไม่พอ</t>
        </is>
      </c>
      <c r="N18" s="131" t="inlineStr">
        <is>
          <t>HR ไม่ลดลงใน Easy = พักไม่พอ</t>
        </is>
      </c>
    </row>
    <row r="19" ht="40" customHeight="1" s="70">
      <c r="B19" s="132" t="inlineStr">
        <is>
          <t>พ.ค.</t>
        </is>
      </c>
      <c r="C19" s="118" t="inlineStr">
        <is>
          <t>P2</t>
        </is>
      </c>
      <c r="D19" s="133" t="inlineStr">
        <is>
          <t>เพิ่ม Volume</t>
        </is>
      </c>
      <c r="E19" s="134" t="inlineStr">
        <is>
          <t>Long run 100+ นาที
Zone 2</t>
        </is>
      </c>
      <c r="F19" s="114" t="inlineStr">
        <is>
          <t>11:00</t>
        </is>
      </c>
      <c r="G19" s="130" t="inlineStr">
        <is>
          <t>140-154</t>
        </is>
      </c>
      <c r="H19" s="111" t="inlineStr">
        <is>
          <t>100</t>
        </is>
      </c>
      <c r="I19" s="110" t="inlineStr">
        <is>
          <t>&gt;=82%</t>
        </is>
      </c>
      <c r="J19" s="115" t="inlineStr">
        <is>
          <t>30-36</t>
        </is>
      </c>
      <c r="K19" s="118" t="inlineStr">
        <is>
          <t>---</t>
        </is>
      </c>
      <c r="L19" s="134" t="inlineStr">
        <is>
          <t>เพิ่ม Cross-train 1x/wk</t>
        </is>
      </c>
      <c r="M19" s="134" t="inlineStr">
        <is>
          <t>Pace ไม่เร็วขึ้น = ทบทวน</t>
        </is>
      </c>
      <c r="N19" s="131" t="inlineStr">
        <is>
          <t>Pace ไม่เร็วขึ้น = ทบทวน</t>
        </is>
      </c>
    </row>
    <row r="20" ht="40" customHeight="1" s="70">
      <c r="B20" s="132" t="inlineStr">
        <is>
          <t>มิ.ย.</t>
        </is>
      </c>
      <c r="C20" s="118" t="inlineStr">
        <is>
          <t>P2</t>
        </is>
      </c>
      <c r="D20" s="133" t="inlineStr">
        <is>
          <t>Aerobic Efficiency</t>
        </is>
      </c>
      <c r="E20" s="134" t="inlineStr">
        <is>
          <t>Pace เร็วขึ้น ~30วิ
จาก มี.ค.</t>
        </is>
      </c>
      <c r="F20" s="114" t="inlineStr">
        <is>
          <t>10:30</t>
        </is>
      </c>
      <c r="G20" s="130" t="inlineStr">
        <is>
          <t>140-154</t>
        </is>
      </c>
      <c r="H20" s="111" t="inlineStr">
        <is>
          <t>110</t>
        </is>
      </c>
      <c r="I20" s="110" t="inlineStr">
        <is>
          <t>&gt;=82%</t>
        </is>
      </c>
      <c r="J20" s="115" t="inlineStr">
        <is>
          <t>33-38</t>
        </is>
      </c>
      <c r="K20" s="118" t="inlineStr">
        <is>
          <t>Benchmark 30 นาที</t>
        </is>
      </c>
      <c r="L20" s="134" t="inlineStr">
        <is>
          <t>วัด pace ที่ HR 147 bpm</t>
        </is>
      </c>
      <c r="M20" s="134" t="inlineStr">
        <is>
          <t>เปรียบกับ มี.ค. ต้องเร็วขึ้น</t>
        </is>
      </c>
      <c r="N20" s="131" t="inlineStr">
        <is>
          <t>เปรียบกับ มี.ค. ต้องเร็วขึ้น</t>
        </is>
      </c>
    </row>
    <row r="21" ht="40" customHeight="1" s="70">
      <c r="B21" s="135" t="inlineStr">
        <is>
          <t>ก.ค.</t>
        </is>
      </c>
      <c r="C21" s="121" t="inlineStr">
        <is>
          <t>P3</t>
        </is>
      </c>
      <c r="D21" s="136" t="inlineStr">
        <is>
          <t>Neuromuscular Speed</t>
        </is>
      </c>
      <c r="E21" s="137" t="inlineStr">
        <is>
          <t>Strides 8x20วิ
2x/สัปดาห์</t>
        </is>
      </c>
      <c r="F21" s="114" t="inlineStr">
        <is>
          <t>10:00</t>
        </is>
      </c>
      <c r="G21" s="130" t="inlineStr">
        <is>
          <t>140-154</t>
        </is>
      </c>
      <c r="H21" s="111" t="inlineStr">
        <is>
          <t>110</t>
        </is>
      </c>
      <c r="I21" s="110" t="inlineStr">
        <is>
          <t>&gt;=83%</t>
        </is>
      </c>
      <c r="J21" s="115" t="inlineStr">
        <is>
          <t>35-40</t>
        </is>
      </c>
      <c r="K21" s="121" t="inlineStr">
        <is>
          <t>---</t>
        </is>
      </c>
      <c r="L21" s="137" t="inlineStr">
        <is>
          <t>เพิ่ม Strides ทุก wk</t>
        </is>
      </c>
      <c r="M21" s="137" t="inlineStr">
        <is>
          <t>Strides ต้องรู้สึกเบา ไม่เหนื่อย</t>
        </is>
      </c>
      <c r="N21" s="131" t="inlineStr">
        <is>
          <t>Strides ต้องรู้สึกเบา ไม่เหนื่อย</t>
        </is>
      </c>
    </row>
    <row r="22" ht="40" customHeight="1" s="70">
      <c r="B22" s="135" t="inlineStr">
        <is>
          <t>ส.ค.</t>
        </is>
      </c>
      <c r="C22" s="121" t="inlineStr">
        <is>
          <t>P3</t>
        </is>
      </c>
      <c r="D22" s="136" t="inlineStr">
        <is>
          <t>Tempo สั้น</t>
        </is>
      </c>
      <c r="E22" s="137" t="inlineStr">
        <is>
          <t>Tempo 20 นาที
pace 8:00-8:30</t>
        </is>
      </c>
      <c r="F22" s="114" t="inlineStr">
        <is>
          <t>9:00</t>
        </is>
      </c>
      <c r="G22" s="130" t="inlineStr">
        <is>
          <t>140-154</t>
        </is>
      </c>
      <c r="H22" s="111" t="inlineStr">
        <is>
          <t>120</t>
        </is>
      </c>
      <c r="I22" s="110" t="inlineStr">
        <is>
          <t>&gt;=83%</t>
        </is>
      </c>
      <c r="J22" s="115" t="inlineStr">
        <is>
          <t>38-43</t>
        </is>
      </c>
      <c r="K22" s="121" t="inlineStr">
        <is>
          <t>HR ที่ pace 8:30</t>
        </is>
      </c>
      <c r="L22" s="137" t="inlineStr">
        <is>
          <t>จด HR เฉลี่ย Tempo</t>
        </is>
      </c>
      <c r="M22" s="137" t="inlineStr">
        <is>
          <t>Tempo HR ควร &lt; 165 bpm</t>
        </is>
      </c>
      <c r="N22" s="131" t="inlineStr">
        <is>
          <t>Tempo HR ควร &lt; 165 bpm</t>
        </is>
      </c>
    </row>
    <row r="23" ht="40" customHeight="1" s="70">
      <c r="B23" s="138" t="inlineStr">
        <is>
          <t>ก.ย.</t>
        </is>
      </c>
      <c r="C23" s="124" t="inlineStr">
        <is>
          <t>P4</t>
        </is>
      </c>
      <c r="D23" s="139" t="inlineStr">
        <is>
          <t>Pace 9 Zone 2</t>
        </is>
      </c>
      <c r="E23" s="140" t="inlineStr">
        <is>
          <t>5กม. pace 9:00
HR &lt; 154</t>
        </is>
      </c>
      <c r="F23" s="114" t="inlineStr">
        <is>
          <t>9:00</t>
        </is>
      </c>
      <c r="G23" s="130" t="inlineStr">
        <is>
          <t>140-154</t>
        </is>
      </c>
      <c r="H23" s="111" t="inlineStr">
        <is>
          <t>120</t>
        </is>
      </c>
      <c r="I23" s="110" t="inlineStr">
        <is>
          <t>&gt;=84%</t>
        </is>
      </c>
      <c r="J23" s="115" t="inlineStr">
        <is>
          <t>40-45</t>
        </is>
      </c>
      <c r="K23" s="124" t="inlineStr">
        <is>
          <t>Test 5กม. pace 9</t>
        </is>
      </c>
      <c r="L23" s="140" t="inlineStr">
        <is>
          <t>วิ่ง 5กม. วัด HR avg</t>
        </is>
      </c>
      <c r="M23" s="140" t="inlineStr">
        <is>
          <t>HR &gt; 154 = ยังต้องฝึกต่อ</t>
        </is>
      </c>
      <c r="N23" s="131" t="inlineStr">
        <is>
          <t>HR &gt; 154 = ยังต้องฝึกต่อ</t>
        </is>
      </c>
    </row>
    <row r="24" ht="40" customHeight="1" s="70">
      <c r="B24" s="138" t="inlineStr">
        <is>
          <t>ต.ค.</t>
        </is>
      </c>
      <c r="C24" s="124" t="inlineStr">
        <is>
          <t>P4</t>
        </is>
      </c>
      <c r="D24" s="139" t="inlineStr">
        <is>
          <t>Pace 8 Zone 2</t>
        </is>
      </c>
      <c r="E24" s="140" t="inlineStr">
        <is>
          <t>5กม. pace 8:00
HR &lt; 154</t>
        </is>
      </c>
      <c r="F24" s="114" t="inlineStr">
        <is>
          <t>8:00</t>
        </is>
      </c>
      <c r="G24" s="130" t="inlineStr">
        <is>
          <t>140-154</t>
        </is>
      </c>
      <c r="H24" s="111" t="inlineStr">
        <is>
          <t>120</t>
        </is>
      </c>
      <c r="I24" s="110" t="inlineStr">
        <is>
          <t>&gt;=84%</t>
        </is>
      </c>
      <c r="J24" s="115" t="inlineStr">
        <is>
          <t>40-45</t>
        </is>
      </c>
      <c r="K24" s="124" t="inlineStr">
        <is>
          <t>Test 5กม. pace 8</t>
        </is>
      </c>
      <c r="L24" s="140" t="inlineStr">
        <is>
          <t>วิ่ง 5กม. วัด HR avg</t>
        </is>
      </c>
      <c r="M24" s="140" t="inlineStr">
        <is>
          <t>HR &gt; 154 = รอ พ.ย.</t>
        </is>
      </c>
      <c r="N24" s="131" t="inlineStr">
        <is>
          <t>HR &gt; 154 = รอ พ.ย.</t>
        </is>
      </c>
    </row>
    <row r="25" ht="40" customHeight="1" s="70">
      <c r="B25" s="138" t="inlineStr">
        <is>
          <t>พ.ย.</t>
        </is>
      </c>
      <c r="C25" s="124" t="inlineStr">
        <is>
          <t>P4</t>
        </is>
      </c>
      <c r="D25" s="139" t="inlineStr">
        <is>
          <t>Pace 7:30 Zone 2</t>
        </is>
      </c>
      <c r="E25" s="140" t="inlineStr">
        <is>
          <t>5กม. pace 7:30
HR &lt; 154</t>
        </is>
      </c>
      <c r="F25" s="114" t="inlineStr">
        <is>
          <t>7:30</t>
        </is>
      </c>
      <c r="G25" s="130" t="inlineStr">
        <is>
          <t>140-154</t>
        </is>
      </c>
      <c r="H25" s="111" t="inlineStr">
        <is>
          <t>120</t>
        </is>
      </c>
      <c r="I25" s="110" t="inlineStr">
        <is>
          <t>&gt;=85%</t>
        </is>
      </c>
      <c r="J25" s="115" t="inlineStr">
        <is>
          <t>42-48</t>
        </is>
      </c>
      <c r="K25" s="124" t="inlineStr">
        <is>
          <t>Test 5กม. pace 7:30</t>
        </is>
      </c>
      <c r="L25" s="140" t="inlineStr">
        <is>
          <t>วิ่ง 5กม. วัด HR avg</t>
        </is>
      </c>
      <c r="M25" s="140" t="inlineStr">
        <is>
          <t>HR &lt; 154 = เข้าใกล้แล้ว</t>
        </is>
      </c>
      <c r="N25" s="131" t="inlineStr">
        <is>
          <t>HR &lt; 154 = เข้าใกล้แล้ว</t>
        </is>
      </c>
    </row>
    <row r="26" ht="40" customHeight="1" s="70">
      <c r="B26" s="141" t="inlineStr">
        <is>
          <t>ธ.ค.</t>
        </is>
      </c>
      <c r="C26" s="142" t="inlineStr">
        <is>
          <t>P4</t>
        </is>
      </c>
      <c r="D26" s="143" t="inlineStr">
        <is>
          <t>GOAL COMPLETE</t>
        </is>
      </c>
      <c r="E26" s="144" t="inlineStr">
        <is>
          <t>Zone 2 pace 7:00
HR 140-154</t>
        </is>
      </c>
      <c r="F26" s="114" t="inlineStr">
        <is>
          <t>7:00</t>
        </is>
      </c>
      <c r="G26" s="130" t="inlineStr">
        <is>
          <t>140-154</t>
        </is>
      </c>
      <c r="H26" s="111" t="inlineStr">
        <is>
          <t>120</t>
        </is>
      </c>
      <c r="I26" s="110" t="inlineStr">
        <is>
          <t>&gt;=85%</t>
        </is>
      </c>
      <c r="J26" s="115" t="inlineStr">
        <is>
          <t>42-48</t>
        </is>
      </c>
      <c r="K26" s="145" t="inlineStr">
        <is>
          <t>FINAL TEST 5กม.</t>
        </is>
      </c>
      <c r="L26" s="144" t="inlineStr">
        <is>
          <t>วิ่ง 5กม. pace 7 วัด HR</t>
        </is>
      </c>
      <c r="M26" s="144" t="inlineStr">
        <is>
          <t>วัด HR avg ทั้ง 5กม.</t>
        </is>
      </c>
      <c r="N26" s="133" t="inlineStr">
        <is>
          <t>HR avg &lt; 154 = สำเร็จ!</t>
        </is>
      </c>
    </row>
    <row r="27" ht="7" customHeight="1" s="70"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</row>
    <row r="28" ht="24" customHeight="1" s="70">
      <c r="B28" s="146" t="inlineStr">
        <is>
          <t xml:space="preserve">  ตัวชี้วัดที่ต้องติดตาม</t>
        </is>
      </c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1" t="n"/>
    </row>
    <row r="29" ht="30" customHeight="1" s="70">
      <c r="B29" s="94" t="inlineStr">
        <is>
          <t>ตัวชี้วัด</t>
        </is>
      </c>
      <c r="C29" s="94" t="inlineStr">
        <is>
          <t>ความถี่</t>
        </is>
      </c>
      <c r="D29" s="91" t="inlineStr">
        <is>
          <t>เป้าหมาย</t>
        </is>
      </c>
      <c r="E29" s="94" t="inlineStr">
        <is>
          <t>วิธีวัด</t>
        </is>
      </c>
      <c r="F29" s="91" t="inlineStr">
        <is>
          <t>สัญญาณ OK</t>
        </is>
      </c>
      <c r="G29" s="105" t="inlineStr">
        <is>
          <t>สัญญาณเตือน</t>
        </is>
      </c>
      <c r="H29" s="147" t="n"/>
      <c r="I29" s="147" t="n"/>
      <c r="J29" s="147" t="n"/>
      <c r="K29" s="147" t="n"/>
      <c r="L29" s="147" t="n"/>
      <c r="M29" s="147" t="n"/>
      <c r="N29" s="147" t="n"/>
    </row>
    <row r="30" ht="22" customHeight="1" s="70">
      <c r="B30" s="148" t="inlineStr">
        <is>
          <t>HR เฉลี่ย / session</t>
        </is>
      </c>
      <c r="C30" s="149" t="inlineStr">
        <is>
          <t>ทุกครั้ง</t>
        </is>
      </c>
      <c r="D30" s="114" t="inlineStr">
        <is>
          <t>&lt; 154 bpm</t>
        </is>
      </c>
      <c r="E30" s="150" t="inlineStr">
        <is>
          <t>COROS หลัง run</t>
        </is>
      </c>
      <c r="F30" s="110" t="inlineStr">
        <is>
          <t>HR 140-154</t>
        </is>
      </c>
      <c r="G30" s="113" t="inlineStr">
        <is>
          <t>HR &gt; 158 = เกิน Zone 2</t>
        </is>
      </c>
      <c r="H30" s="151" t="inlineStr"/>
      <c r="I30" s="151" t="inlineStr"/>
      <c r="J30" s="151" t="inlineStr"/>
      <c r="K30" s="151" t="inlineStr"/>
      <c r="L30" s="151" t="inlineStr"/>
      <c r="M30" s="151" t="inlineStr"/>
      <c r="N30" s="151" t="inlineStr"/>
    </row>
    <row r="31" ht="22" customHeight="1" s="70">
      <c r="B31" s="152" t="inlineStr">
        <is>
          <t>Zone 2 %</t>
        </is>
      </c>
      <c r="C31" s="153" t="inlineStr">
        <is>
          <t>ทุกครั้ง</t>
        </is>
      </c>
      <c r="D31" s="114" t="inlineStr">
        <is>
          <t>&gt;=80%</t>
        </is>
      </c>
      <c r="E31" s="154" t="inlineStr">
        <is>
          <t>LOG sheet</t>
        </is>
      </c>
      <c r="F31" s="110" t="inlineStr">
        <is>
          <t>&gt;=80%</t>
        </is>
      </c>
      <c r="G31" s="113" t="inlineStr">
        <is>
          <t>&lt; 70% = ต้องชะลอ</t>
        </is>
      </c>
      <c r="H31" s="155" t="inlineStr"/>
      <c r="I31" s="155" t="inlineStr"/>
      <c r="J31" s="155" t="inlineStr"/>
      <c r="K31" s="155" t="inlineStr"/>
      <c r="L31" s="155" t="inlineStr"/>
      <c r="M31" s="155" t="inlineStr"/>
      <c r="N31" s="155" t="inlineStr"/>
    </row>
    <row r="32" ht="22" customHeight="1" s="70">
      <c r="B32" s="148" t="inlineStr">
        <is>
          <t>Resting HR</t>
        </is>
      </c>
      <c r="C32" s="149" t="inlineStr">
        <is>
          <t>ทุกเช้า</t>
        </is>
      </c>
      <c r="D32" s="114" t="inlineStr">
        <is>
          <t>&lt;=62 bpm</t>
        </is>
      </c>
      <c r="E32" s="150" t="inlineStr">
        <is>
          <t>วัดก่อนลุกจากเตียง</t>
        </is>
      </c>
      <c r="F32" s="110" t="inlineStr">
        <is>
          <t>คงที่/ลดลง</t>
        </is>
      </c>
      <c r="G32" s="113" t="inlineStr">
        <is>
          <t>เพิ่ม 5+ bpm = overtraining</t>
        </is>
      </c>
      <c r="H32" s="151" t="inlineStr"/>
      <c r="I32" s="151" t="inlineStr"/>
      <c r="J32" s="151" t="inlineStr"/>
      <c r="K32" s="151" t="inlineStr"/>
      <c r="L32" s="151" t="inlineStr"/>
      <c r="M32" s="151" t="inlineStr"/>
      <c r="N32" s="151" t="inlineStr"/>
    </row>
    <row r="33" ht="22" customHeight="1" s="70">
      <c r="B33" s="152" t="inlineStr">
        <is>
          <t>Cardiac Drift</t>
        </is>
      </c>
      <c r="C33" s="153" t="inlineStr">
        <is>
          <t>Long run</t>
        </is>
      </c>
      <c r="D33" s="114" t="inlineStr">
        <is>
          <t>&lt; 10 bpm</t>
        </is>
      </c>
      <c r="E33" s="154" t="inlineStr">
        <is>
          <t>HR ปลาย - HR ต้น</t>
        </is>
      </c>
      <c r="F33" s="110" t="inlineStr">
        <is>
          <t>&lt; 10 bpm</t>
        </is>
      </c>
      <c r="G33" s="113" t="inlineStr">
        <is>
          <t>Drift &gt; 15 = aerobic ต่ำ</t>
        </is>
      </c>
      <c r="H33" s="155" t="inlineStr"/>
      <c r="I33" s="155" t="inlineStr"/>
      <c r="J33" s="155" t="inlineStr"/>
      <c r="K33" s="155" t="inlineStr"/>
      <c r="L33" s="155" t="inlineStr"/>
      <c r="M33" s="155" t="inlineStr"/>
      <c r="N33" s="155" t="inlineStr"/>
    </row>
    <row r="34" ht="22" customHeight="1" s="70">
      <c r="B34" s="148" t="inlineStr">
        <is>
          <t>Zone 2 Pace</t>
        </is>
      </c>
      <c r="C34" s="149" t="inlineStr">
        <is>
          <t>ทุกเดือน</t>
        </is>
      </c>
      <c r="D34" s="114" t="inlineStr">
        <is>
          <t>ดู milestone</t>
        </is>
      </c>
      <c r="E34" s="150" t="inlineStr">
        <is>
          <t>เปรียบ pace ที่ HR 147</t>
        </is>
      </c>
      <c r="F34" s="110" t="inlineStr">
        <is>
          <t>เร็วขึ้นทุกเดือน</t>
        </is>
      </c>
      <c r="G34" s="113" t="inlineStr">
        <is>
          <t>ไม่เร็วขึ้น 2 เดือน = ทบทวน</t>
        </is>
      </c>
      <c r="H34" s="151" t="inlineStr"/>
      <c r="I34" s="151" t="inlineStr"/>
      <c r="J34" s="151" t="inlineStr"/>
      <c r="K34" s="151" t="inlineStr"/>
      <c r="L34" s="151" t="inlineStr"/>
      <c r="M34" s="151" t="inlineStr"/>
      <c r="N34" s="151" t="inlineStr"/>
    </row>
    <row r="35" ht="22" customHeight="1" s="70">
      <c r="B35" s="152" t="inlineStr">
        <is>
          <t>Weekly Distance</t>
        </is>
      </c>
      <c r="C35" s="153" t="inlineStr">
        <is>
          <t>ทุกสัปดาห์</t>
        </is>
      </c>
      <c r="D35" s="114" t="inlineStr">
        <is>
          <t>ดูแผน</t>
        </is>
      </c>
      <c r="E35" s="154" t="inlineStr">
        <is>
          <t>WEEKLY sheet</t>
        </is>
      </c>
      <c r="F35" s="110" t="inlineStr">
        <is>
          <t>&lt;=+10%/wk</t>
        </is>
      </c>
      <c r="G35" s="113" t="inlineStr">
        <is>
          <t>เพิ่ม &gt; 10% = injury risk</t>
        </is>
      </c>
      <c r="H35" s="155" t="inlineStr"/>
      <c r="I35" s="155" t="inlineStr"/>
      <c r="J35" s="155" t="inlineStr"/>
      <c r="K35" s="155" t="inlineStr"/>
      <c r="L35" s="155" t="inlineStr"/>
      <c r="M35" s="155" t="inlineStr"/>
      <c r="N35" s="155" t="inlineStr"/>
    </row>
    <row r="36" ht="7" customHeight="1" s="70"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</row>
    <row r="37" ht="24" customHeight="1" s="70">
      <c r="B37" s="156" t="inlineStr">
        <is>
          <t xml:space="preserve">  กฎสำคัญ Zone 2 Training</t>
        </is>
      </c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1" t="n"/>
    </row>
    <row r="38" ht="22" customHeight="1" s="70">
      <c r="B38" s="157" t="inlineStr">
        <is>
          <t xml:space="preserve">  Slow Down Rule</t>
        </is>
      </c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1" t="n"/>
    </row>
    <row r="39" ht="28" customHeight="1" s="70">
      <c r="B39" s="129" t="inlineStr">
        <is>
          <t>ถ้า HR เกิน 154 bpm -&gt; ชะลอเป็นเดินทันที รอ HR ลงมา 145 แล้วค่อยวิ่งต่อ Ego เป็นศัตรู Zone 2</t>
        </is>
      </c>
      <c r="C39" s="108" t="inlineStr"/>
      <c r="D39" s="108" t="inlineStr"/>
      <c r="E39" s="108" t="inlineStr"/>
      <c r="F39" s="108" t="inlineStr"/>
      <c r="G39" s="108" t="inlineStr"/>
      <c r="H39" s="108" t="inlineStr"/>
      <c r="I39" s="108" t="inlineStr"/>
      <c r="J39" s="108" t="inlineStr"/>
      <c r="K39" s="108" t="inlineStr"/>
      <c r="L39" s="108" t="inlineStr"/>
      <c r="M39" s="108" t="inlineStr"/>
      <c r="N39" s="108" t="inlineStr"/>
    </row>
    <row r="40" ht="7" customHeight="1" s="70">
      <c r="B40" s="90" t="n"/>
      <c r="C40" s="90" t="n"/>
      <c r="D40" s="90" t="n"/>
      <c r="E40" s="90" t="n"/>
      <c r="F40" s="90" t="n"/>
      <c r="G40" s="90" t="n"/>
      <c r="H40" s="90" t="n"/>
      <c r="I40" s="90" t="n"/>
      <c r="J40" s="90" t="n"/>
      <c r="K40" s="90" t="n"/>
      <c r="L40" s="90" t="n"/>
      <c r="M40" s="90" t="n"/>
      <c r="N40" s="90" t="n"/>
    </row>
    <row r="41" ht="22" customHeight="1" s="70">
      <c r="B41" s="158" t="inlineStr">
        <is>
          <t xml:space="preserve">  อากาศกรุงเทพฯ</t>
        </is>
      </c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1" t="n"/>
    </row>
    <row r="42" ht="28" customHeight="1" s="70">
      <c r="B42" s="140" t="inlineStr">
        <is>
          <t>HR สูงขึ้น 5-10 bpm จากความร้อน = ปกติมาก วิ่งช่วง 05:00-06:30 หรือ 18:30-20:00</t>
        </is>
      </c>
      <c r="C42" s="124" t="inlineStr"/>
      <c r="D42" s="124" t="inlineStr"/>
      <c r="E42" s="124" t="inlineStr"/>
      <c r="F42" s="124" t="inlineStr"/>
      <c r="G42" s="124" t="inlineStr"/>
      <c r="H42" s="124" t="inlineStr"/>
      <c r="I42" s="124" t="inlineStr"/>
      <c r="J42" s="124" t="inlineStr"/>
      <c r="K42" s="124" t="inlineStr"/>
      <c r="L42" s="124" t="inlineStr"/>
      <c r="M42" s="124" t="inlineStr"/>
      <c r="N42" s="124" t="inlineStr"/>
    </row>
    <row r="43" ht="7" customHeight="1" s="70">
      <c r="B43" s="90" t="n"/>
      <c r="C43" s="90" t="n"/>
      <c r="D43" s="90" t="n"/>
      <c r="E43" s="90" t="n"/>
      <c r="F43" s="90" t="n"/>
      <c r="G43" s="90" t="n"/>
      <c r="H43" s="90" t="n"/>
      <c r="I43" s="90" t="n"/>
      <c r="J43" s="90" t="n"/>
      <c r="K43" s="90" t="n"/>
      <c r="L43" s="90" t="n"/>
      <c r="M43" s="90" t="n"/>
      <c r="N43" s="90" t="n"/>
    </row>
    <row r="44" ht="22" customHeight="1" s="70">
      <c r="B44" s="159" t="inlineStr">
        <is>
          <t xml:space="preserve">  80/20 Rule</t>
        </is>
      </c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1" t="n"/>
    </row>
    <row r="45" ht="28" customHeight="1" s="70">
      <c r="B45" s="134" t="inlineStr">
        <is>
          <t>80% ของระยะทั้งหมด = Zone 2 (easy) | 20% = hard (strides, tempo) ถ้า hard &gt; 20% = aerobic base พัฒนาช้า</t>
        </is>
      </c>
      <c r="C45" s="118" t="inlineStr"/>
      <c r="D45" s="118" t="inlineStr"/>
      <c r="E45" s="118" t="inlineStr"/>
      <c r="F45" s="118" t="inlineStr"/>
      <c r="G45" s="118" t="inlineStr"/>
      <c r="H45" s="118" t="inlineStr"/>
      <c r="I45" s="118" t="inlineStr"/>
      <c r="J45" s="118" t="inlineStr"/>
      <c r="K45" s="118" t="inlineStr"/>
      <c r="L45" s="118" t="inlineStr"/>
      <c r="M45" s="118" t="inlineStr"/>
      <c r="N45" s="118" t="inlineStr"/>
    </row>
    <row r="46" ht="7" customHeight="1" s="70">
      <c r="B46" s="90" t="n"/>
      <c r="C46" s="90" t="n"/>
      <c r="D46" s="90" t="n"/>
      <c r="E46" s="90" t="n"/>
      <c r="F46" s="90" t="n"/>
      <c r="G46" s="90" t="n"/>
      <c r="H46" s="90" t="n"/>
      <c r="I46" s="90" t="n"/>
      <c r="J46" s="90" t="n"/>
      <c r="K46" s="90" t="n"/>
      <c r="L46" s="90" t="n"/>
      <c r="M46" s="90" t="n"/>
      <c r="N46" s="90" t="n"/>
    </row>
    <row r="47" ht="22" customHeight="1" s="70">
      <c r="B47" s="160" t="inlineStr">
        <is>
          <t xml:space="preserve">  Recovery = Training</t>
        </is>
      </c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1" t="n"/>
    </row>
    <row r="48" ht="28" customHeight="1" s="70">
      <c r="B48" s="137" t="inlineStr">
        <is>
          <t>นอน 7-9 ชม. = สำคัญเท่ากับวิ่ง | Resting HR สูงขึ้น 5+ bpm -&gt; พักเพิ่ม 1 วัน</t>
        </is>
      </c>
      <c r="C48" s="121" t="inlineStr"/>
      <c r="D48" s="121" t="inlineStr"/>
      <c r="E48" s="121" t="inlineStr"/>
      <c r="F48" s="121" t="inlineStr"/>
      <c r="G48" s="121" t="inlineStr"/>
      <c r="H48" s="121" t="inlineStr"/>
      <c r="I48" s="121" t="inlineStr"/>
      <c r="J48" s="121" t="inlineStr"/>
      <c r="K48" s="121" t="inlineStr"/>
      <c r="L48" s="121" t="inlineStr"/>
      <c r="M48" s="121" t="inlineStr"/>
      <c r="N48" s="121" t="inlineStr"/>
    </row>
    <row r="49" ht="7" customHeight="1" s="70">
      <c r="B49" s="90" t="n"/>
      <c r="C49" s="90" t="n"/>
      <c r="D49" s="90" t="n"/>
      <c r="E49" s="90" t="n"/>
      <c r="F49" s="90" t="n"/>
      <c r="G49" s="90" t="n"/>
      <c r="H49" s="90" t="n"/>
      <c r="I49" s="90" t="n"/>
      <c r="J49" s="90" t="n"/>
      <c r="K49" s="90" t="n"/>
      <c r="L49" s="90" t="n"/>
      <c r="M49" s="90" t="n"/>
      <c r="N49" s="90" t="n"/>
    </row>
    <row r="50" ht="22" customHeight="1" s="70">
      <c r="B50" s="161" t="inlineStr">
        <is>
          <t xml:space="preserve">  10% Rule</t>
        </is>
      </c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1" t="n"/>
    </row>
    <row r="51" ht="28" customHeight="1" s="70">
      <c r="B51" s="162" t="inlineStr">
        <is>
          <t>เพิ่ม weekly distance &lt;=10%/สัปดาห์ | ทุก 4 สัปดาห์ทำ Deload week (ลด 30%) | บาดเจ็บ = เสีย 4-8 สัปดาห์</t>
        </is>
      </c>
      <c r="C51" s="163" t="inlineStr"/>
      <c r="D51" s="163" t="inlineStr"/>
      <c r="E51" s="163" t="inlineStr"/>
      <c r="F51" s="163" t="inlineStr"/>
      <c r="G51" s="163" t="inlineStr"/>
      <c r="H51" s="163" t="inlineStr"/>
      <c r="I51" s="163" t="inlineStr"/>
      <c r="J51" s="163" t="inlineStr"/>
      <c r="K51" s="163" t="inlineStr"/>
      <c r="L51" s="163" t="inlineStr"/>
      <c r="M51" s="163" t="inlineStr"/>
      <c r="N51" s="163" t="inlineStr"/>
    </row>
    <row r="52" ht="7" customHeight="1" s="70">
      <c r="B52" s="90" t="n"/>
      <c r="C52" s="90" t="n"/>
      <c r="D52" s="90" t="n"/>
      <c r="E52" s="90" t="n"/>
      <c r="F52" s="90" t="n"/>
      <c r="G52" s="90" t="n"/>
      <c r="H52" s="90" t="n"/>
      <c r="I52" s="90" t="n"/>
      <c r="J52" s="90" t="n"/>
      <c r="K52" s="90" t="n"/>
      <c r="L52" s="90" t="n"/>
      <c r="M52" s="90" t="n"/>
      <c r="N52" s="90" t="n"/>
    </row>
  </sheetData>
  <mergeCells count="26">
    <mergeCell ref="B37:N37"/>
    <mergeCell ref="I6:J6"/>
    <mergeCell ref="E5:F5"/>
    <mergeCell ref="B15:N15"/>
    <mergeCell ref="E4:F4"/>
    <mergeCell ref="B41:N41"/>
    <mergeCell ref="B50:N50"/>
    <mergeCell ref="G6:H6"/>
    <mergeCell ref="B47:N47"/>
    <mergeCell ref="B6:D6"/>
    <mergeCell ref="B5:D5"/>
    <mergeCell ref="E6:F6"/>
    <mergeCell ref="K4:M4"/>
    <mergeCell ref="K6:M6"/>
    <mergeCell ref="B4:D4"/>
    <mergeCell ref="G5:H5"/>
    <mergeCell ref="I5:J5"/>
    <mergeCell ref="B2:N2"/>
    <mergeCell ref="G4:H4"/>
    <mergeCell ref="I4:J4"/>
    <mergeCell ref="B1:N1"/>
    <mergeCell ref="B8:N8"/>
    <mergeCell ref="K5:M5"/>
    <mergeCell ref="B44:N44"/>
    <mergeCell ref="B38:N38"/>
    <mergeCell ref="B28:N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A878"/>
    <outlinePr summaryBelow="1" summaryRight="1"/>
    <pageSetUpPr/>
  </sheetPr>
  <dimension ref="B1:N52"/>
  <sheetViews>
    <sheetView showGridLines="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5" customWidth="1" style="70" min="1" max="1"/>
    <col width="8" customWidth="1" style="70" min="2" max="2"/>
    <col width="10" customWidth="1" style="70" min="3" max="3"/>
    <col width="10" customWidth="1" style="70" min="4" max="4"/>
    <col width="12" customWidth="1" style="70" min="5" max="5"/>
    <col width="18" customWidth="1" style="70" min="6" max="6"/>
    <col width="18" customWidth="1" style="70" min="7" max="7"/>
    <col width="16" customWidth="1" style="70" min="8" max="8"/>
    <col width="18" customWidth="1" style="70" min="9" max="9"/>
    <col width="9" customWidth="1" style="70" min="10" max="10"/>
    <col width="12" customWidth="1" style="70" min="11" max="11"/>
    <col width="13" customWidth="1" style="70" min="12" max="12"/>
    <col width="11" customWidth="1" style="70" min="13" max="13"/>
    <col width="22" customWidth="1" style="70" min="14" max="14"/>
  </cols>
  <sheetData>
    <row r="1" ht="36" customHeight="1" s="70">
      <c r="B1" s="164" t="inlineStr">
        <is>
          <t>Weekly Plan 36 Weeks - Zone 2 Training 2026</t>
        </is>
      </c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1" t="n"/>
    </row>
    <row r="2" ht="18" customHeight="1" s="70">
      <c r="B2" s="165" t="inlineStr">
        <is>
          <t>คอลัมน์สีม่วง = Deload week  |  Long Run = session สำคัญที่สุด  |  กฎ: HR &gt; 154 -&gt; เดินทันที</t>
        </is>
      </c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1" t="n"/>
    </row>
    <row r="3" ht="7" customHeight="1" s="70"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90" t="n"/>
      <c r="N3" s="90" t="n"/>
    </row>
    <row r="4" ht="18" customHeight="1" s="70">
      <c r="B4" s="166" t="inlineStr">
        <is>
          <t xml:space="preserve">  Easy Run</t>
        </is>
      </c>
      <c r="C4" s="181" t="n"/>
      <c r="D4" s="167" t="inlineStr">
        <is>
          <t xml:space="preserve">  Long Run</t>
        </is>
      </c>
      <c r="E4" s="181" t="n"/>
      <c r="F4" s="168" t="inlineStr">
        <is>
          <t xml:space="preserve">  Strides</t>
        </is>
      </c>
      <c r="G4" s="181" t="n"/>
      <c r="H4" s="169" t="inlineStr">
        <is>
          <t xml:space="preserve">  Tempo</t>
        </is>
      </c>
      <c r="I4" s="181" t="n"/>
      <c r="J4" s="170" t="inlineStr">
        <is>
          <t xml:space="preserve">  Deload Week</t>
        </is>
      </c>
      <c r="K4" s="181" t="n"/>
      <c r="L4" s="171" t="inlineStr">
        <is>
          <t xml:space="preserve">  ตัวเลขเป้า</t>
        </is>
      </c>
      <c r="M4" s="180" t="n"/>
      <c r="N4" s="181" t="n"/>
    </row>
    <row r="5" ht="7" customHeight="1" s="70">
      <c r="B5" s="90" t="n"/>
      <c r="C5" s="90" t="n"/>
      <c r="D5" s="90" t="n"/>
      <c r="E5" s="90" t="n"/>
      <c r="F5" s="90" t="n"/>
      <c r="G5" s="90" t="n"/>
      <c r="H5" s="90" t="n"/>
      <c r="I5" s="90" t="n"/>
      <c r="J5" s="90" t="n"/>
      <c r="K5" s="90" t="n"/>
      <c r="L5" s="90" t="n"/>
      <c r="M5" s="90" t="n"/>
      <c r="N5" s="90" t="n"/>
    </row>
    <row r="6" ht="24" customHeight="1" s="70">
      <c r="B6" s="146" t="inlineStr">
        <is>
          <t xml:space="preserve">  Phase 1  --  มี.ค.-เม.ย.  --  Wk 1-6</t>
        </is>
      </c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1" t="n"/>
    </row>
    <row r="7" ht="30" customHeight="1" s="70">
      <c r="B7" s="94" t="inlineStr">
        <is>
          <t>Wk</t>
        </is>
      </c>
      <c r="C7" s="94" t="inlineStr">
        <is>
          <t>วันที่</t>
        </is>
      </c>
      <c r="D7" s="104" t="inlineStr">
        <is>
          <t>Phase</t>
        </is>
      </c>
      <c r="E7" s="94" t="inlineStr">
        <is>
          <t>สัปดาห์</t>
        </is>
      </c>
      <c r="F7" s="91" t="inlineStr">
        <is>
          <t>จันทร์
Easy Run</t>
        </is>
      </c>
      <c r="G7" s="91" t="inlineStr">
        <is>
          <t>พุธ
Easy Run</t>
        </is>
      </c>
      <c r="H7" s="92" t="inlineStr">
        <is>
          <t>พฤหัส
Strides</t>
        </is>
      </c>
      <c r="I7" s="93" t="inlineStr">
        <is>
          <t>เสาร์
Long Run</t>
        </is>
      </c>
      <c r="J7" s="91" t="inlineStr">
        <is>
          <t>Z2%
เป้า</t>
        </is>
      </c>
      <c r="K7" s="92" t="inlineStr">
        <is>
          <t>HR
เป้า</t>
        </is>
      </c>
      <c r="L7" s="91" t="inlineStr">
        <is>
          <t>Pace Z2
เป้า</t>
        </is>
      </c>
      <c r="M7" s="106" t="inlineStr">
        <is>
          <t>km/wk
เป้า</t>
        </is>
      </c>
      <c r="N7" s="94" t="inlineStr">
        <is>
          <t>โน้ต / Test</t>
        </is>
      </c>
    </row>
    <row r="8" ht="52" customHeight="1" s="70">
      <c r="B8" s="107" t="inlineStr">
        <is>
          <t>Wk 1</t>
        </is>
      </c>
      <c r="C8" s="108" t="inlineStr">
        <is>
          <t>02 Mar</t>
        </is>
      </c>
      <c r="D8" s="172" t="inlineStr">
        <is>
          <t>Phase 1</t>
        </is>
      </c>
      <c r="E8" s="108" t="inlineStr">
        <is>
          <t>Build</t>
        </is>
      </c>
      <c r="F8" s="110" t="inlineStr">
        <is>
          <t>Easy 45นาที
140-154 bpm</t>
        </is>
      </c>
      <c r="G8" s="110" t="inlineStr">
        <is>
          <t>Easy 45นาที
140-154 bpm</t>
        </is>
      </c>
      <c r="H8" s="112" t="inlineStr">
        <is>
          <t>4x20วิ
30นาที Easy+Strides</t>
        </is>
      </c>
      <c r="I8" s="172" t="inlineStr">
        <is>
          <t>Long 80นาที
Zone 2 STRICT</t>
        </is>
      </c>
      <c r="J8" s="114" t="inlineStr">
        <is>
          <t>&gt;=80%</t>
        </is>
      </c>
      <c r="K8" s="130" t="inlineStr">
        <is>
          <t>140-154</t>
        </is>
      </c>
      <c r="L8" s="114" t="inlineStr">
        <is>
          <t>11:00-12:30</t>
        </is>
      </c>
      <c r="M8" s="115" t="inlineStr">
        <is>
          <t>24-29</t>
        </is>
      </c>
      <c r="N8" s="129" t="inlineStr"/>
    </row>
    <row r="9" ht="52" customHeight="1" s="70">
      <c r="B9" s="107" t="inlineStr">
        <is>
          <t>Wk 2</t>
        </is>
      </c>
      <c r="C9" s="108" t="inlineStr">
        <is>
          <t>09 Mar</t>
        </is>
      </c>
      <c r="D9" s="172" t="inlineStr">
        <is>
          <t>Phase 1</t>
        </is>
      </c>
      <c r="E9" s="108" t="inlineStr">
        <is>
          <t>Build</t>
        </is>
      </c>
      <c r="F9" s="110" t="inlineStr">
        <is>
          <t>Easy 48นาที
140-154 bpm</t>
        </is>
      </c>
      <c r="G9" s="110" t="inlineStr">
        <is>
          <t>Easy 48นาที
140-154 bpm</t>
        </is>
      </c>
      <c r="H9" s="112" t="inlineStr">
        <is>
          <t>4x20วิ
30นาที Easy+Strides</t>
        </is>
      </c>
      <c r="I9" s="172" t="inlineStr">
        <is>
          <t>Long 83นาที
Zone 2 STRICT</t>
        </is>
      </c>
      <c r="J9" s="114" t="inlineStr">
        <is>
          <t>&gt;=80%</t>
        </is>
      </c>
      <c r="K9" s="130" t="inlineStr">
        <is>
          <t>140-154</t>
        </is>
      </c>
      <c r="L9" s="114" t="inlineStr">
        <is>
          <t>11:00-12:30</t>
        </is>
      </c>
      <c r="M9" s="115" t="inlineStr">
        <is>
          <t>25-30</t>
        </is>
      </c>
      <c r="N9" s="129" t="inlineStr"/>
    </row>
    <row r="10" ht="52" customHeight="1" s="70">
      <c r="B10" s="107" t="inlineStr">
        <is>
          <t>Wk 3</t>
        </is>
      </c>
      <c r="C10" s="108" t="inlineStr">
        <is>
          <t>16 Mar</t>
        </is>
      </c>
      <c r="D10" s="172" t="inlineStr">
        <is>
          <t>Phase 1</t>
        </is>
      </c>
      <c r="E10" s="108" t="inlineStr">
        <is>
          <t>Build</t>
        </is>
      </c>
      <c r="F10" s="110" t="inlineStr">
        <is>
          <t>Easy 51นาที
140-154 bpm</t>
        </is>
      </c>
      <c r="G10" s="110" t="inlineStr">
        <is>
          <t>Easy 51นาที
140-154 bpm</t>
        </is>
      </c>
      <c r="H10" s="112" t="inlineStr">
        <is>
          <t>4x20วิ
30นาที Easy+Strides</t>
        </is>
      </c>
      <c r="I10" s="172" t="inlineStr">
        <is>
          <t>Long 86นาที
Zone 2 STRICT</t>
        </is>
      </c>
      <c r="J10" s="114" t="inlineStr">
        <is>
          <t>&gt;=80%</t>
        </is>
      </c>
      <c r="K10" s="130" t="inlineStr">
        <is>
          <t>140-154</t>
        </is>
      </c>
      <c r="L10" s="114" t="inlineStr">
        <is>
          <t>11:00-12:30</t>
        </is>
      </c>
      <c r="M10" s="115" t="inlineStr">
        <is>
          <t>26-31</t>
        </is>
      </c>
      <c r="N10" s="129" t="inlineStr"/>
    </row>
    <row r="11" ht="52" customHeight="1" s="70">
      <c r="B11" s="107" t="inlineStr">
        <is>
          <t>Wk 4</t>
        </is>
      </c>
      <c r="C11" s="173" t="inlineStr">
        <is>
          <t>23 Mar</t>
        </is>
      </c>
      <c r="D11" s="172" t="inlineStr">
        <is>
          <t>Phase 1</t>
        </is>
      </c>
      <c r="E11" s="173" t="inlineStr">
        <is>
          <t>Deload</t>
        </is>
      </c>
      <c r="F11" s="110" t="inlineStr">
        <is>
          <t>Easy 37นาที
140-154 bpm</t>
        </is>
      </c>
      <c r="G11" s="110" t="inlineStr">
        <is>
          <t>Easy 37นาที
140-154 bpm</t>
        </is>
      </c>
      <c r="H11" s="112" t="inlineStr">
        <is>
          <t>4x20วิ (เบา)
30นาที Easy+Strides</t>
        </is>
      </c>
      <c r="I11" s="172" t="inlineStr">
        <is>
          <t>Long 53นาที
Zone 2 STRICT</t>
        </is>
      </c>
      <c r="J11" s="114" t="inlineStr">
        <is>
          <t>&gt;=80%</t>
        </is>
      </c>
      <c r="K11" s="130" t="inlineStr">
        <is>
          <t>140-154</t>
        </is>
      </c>
      <c r="L11" s="114" t="inlineStr">
        <is>
          <t>11:00-12:30</t>
        </is>
      </c>
      <c r="M11" s="115" t="inlineStr">
        <is>
          <t>18-22</t>
        </is>
      </c>
      <c r="N11" s="131" t="inlineStr">
        <is>
          <t>Deload -30%</t>
        </is>
      </c>
    </row>
    <row r="12" ht="52" customHeight="1" s="70">
      <c r="B12" s="107" t="inlineStr">
        <is>
          <t>Wk 5</t>
        </is>
      </c>
      <c r="C12" s="108" t="inlineStr">
        <is>
          <t>30 Mar</t>
        </is>
      </c>
      <c r="D12" s="172" t="inlineStr">
        <is>
          <t>Phase 1</t>
        </is>
      </c>
      <c r="E12" s="108" t="inlineStr">
        <is>
          <t>Build</t>
        </is>
      </c>
      <c r="F12" s="110" t="inlineStr">
        <is>
          <t>Easy 57นาที
140-154 bpm</t>
        </is>
      </c>
      <c r="G12" s="110" t="inlineStr">
        <is>
          <t>Easy 57นาที
140-154 bpm</t>
        </is>
      </c>
      <c r="H12" s="112" t="inlineStr">
        <is>
          <t>4x20วิ
30นาที Easy+Strides</t>
        </is>
      </c>
      <c r="I12" s="172" t="inlineStr">
        <is>
          <t>Long 92นาที
Zone 2 STRICT</t>
        </is>
      </c>
      <c r="J12" s="114" t="inlineStr">
        <is>
          <t>&gt;=80%</t>
        </is>
      </c>
      <c r="K12" s="130" t="inlineStr">
        <is>
          <t>140-154</t>
        </is>
      </c>
      <c r="L12" s="114" t="inlineStr">
        <is>
          <t>11:00-12:30</t>
        </is>
      </c>
      <c r="M12" s="115" t="inlineStr">
        <is>
          <t>28-33</t>
        </is>
      </c>
      <c r="N12" s="129" t="inlineStr"/>
    </row>
    <row r="13" ht="52" customHeight="1" s="70">
      <c r="B13" s="107" t="inlineStr">
        <is>
          <t>Wk 6</t>
        </is>
      </c>
      <c r="C13" s="108" t="inlineStr">
        <is>
          <t>06 Apr</t>
        </is>
      </c>
      <c r="D13" s="172" t="inlineStr">
        <is>
          <t>Phase 1</t>
        </is>
      </c>
      <c r="E13" s="108" t="inlineStr">
        <is>
          <t>Build</t>
        </is>
      </c>
      <c r="F13" s="110" t="inlineStr">
        <is>
          <t>Easy 60นาที
140-154 bpm</t>
        </is>
      </c>
      <c r="G13" s="110" t="inlineStr">
        <is>
          <t>Easy 60นาที
140-154 bpm</t>
        </is>
      </c>
      <c r="H13" s="112" t="inlineStr">
        <is>
          <t>4x20วิ
30นาที Easy+Strides</t>
        </is>
      </c>
      <c r="I13" s="172" t="inlineStr">
        <is>
          <t>Long 95นาที
Zone 2 STRICT</t>
        </is>
      </c>
      <c r="J13" s="114" t="inlineStr">
        <is>
          <t>&gt;=80%</t>
        </is>
      </c>
      <c r="K13" s="130" t="inlineStr">
        <is>
          <t>140-154</t>
        </is>
      </c>
      <c r="L13" s="114" t="inlineStr">
        <is>
          <t>11:00-12:30</t>
        </is>
      </c>
      <c r="M13" s="115" t="inlineStr">
        <is>
          <t>29-34</t>
        </is>
      </c>
      <c r="N13" s="129" t="inlineStr"/>
    </row>
    <row r="14" ht="7" customHeight="1" s="70"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</row>
    <row r="15" ht="24" customHeight="1" s="70">
      <c r="B15" s="174" t="inlineStr">
        <is>
          <t xml:space="preserve">  Phase 2  --  พ.ค.-มิ.ย.  --  Wk 7-14</t>
        </is>
      </c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1" t="n"/>
    </row>
    <row r="16" ht="30" customHeight="1" s="70">
      <c r="B16" s="94" t="inlineStr">
        <is>
          <t>Wk</t>
        </is>
      </c>
      <c r="C16" s="94" t="inlineStr">
        <is>
          <t>วันที่</t>
        </is>
      </c>
      <c r="D16" s="104" t="inlineStr">
        <is>
          <t>Phase</t>
        </is>
      </c>
      <c r="E16" s="94" t="inlineStr">
        <is>
          <t>สัปดาห์</t>
        </is>
      </c>
      <c r="F16" s="91" t="inlineStr">
        <is>
          <t>จันทร์
Easy Run</t>
        </is>
      </c>
      <c r="G16" s="91" t="inlineStr">
        <is>
          <t>พุธ
Easy Run</t>
        </is>
      </c>
      <c r="H16" s="92" t="inlineStr">
        <is>
          <t>พฤหัส
Strides</t>
        </is>
      </c>
      <c r="I16" s="93" t="inlineStr">
        <is>
          <t>เสาร์
Long Run</t>
        </is>
      </c>
      <c r="J16" s="91" t="inlineStr">
        <is>
          <t>Z2%
เป้า</t>
        </is>
      </c>
      <c r="K16" s="92" t="inlineStr">
        <is>
          <t>HR
เป้า</t>
        </is>
      </c>
      <c r="L16" s="91" t="inlineStr">
        <is>
          <t>Pace Z2
เป้า</t>
        </is>
      </c>
      <c r="M16" s="106" t="inlineStr">
        <is>
          <t>km/wk
เป้า</t>
        </is>
      </c>
      <c r="N16" s="94" t="inlineStr">
        <is>
          <t>โน้ต / Test</t>
        </is>
      </c>
    </row>
    <row r="17" ht="52" customHeight="1" s="70">
      <c r="B17" s="117" t="inlineStr">
        <is>
          <t>Wk 7</t>
        </is>
      </c>
      <c r="C17" s="118" t="inlineStr">
        <is>
          <t>13 Apr</t>
        </is>
      </c>
      <c r="D17" s="175" t="inlineStr">
        <is>
          <t>Phase 2</t>
        </is>
      </c>
      <c r="E17" s="118" t="inlineStr">
        <is>
          <t>Build</t>
        </is>
      </c>
      <c r="F17" s="110" t="inlineStr">
        <is>
          <t>Easy 58นาที
140-154 bpm</t>
        </is>
      </c>
      <c r="G17" s="110" t="inlineStr">
        <is>
          <t>Easy 58นาที
140-154 bpm</t>
        </is>
      </c>
      <c r="H17" s="112" t="inlineStr">
        <is>
          <t>6x20วิ
30นาที Easy+Strides</t>
        </is>
      </c>
      <c r="I17" s="172" t="inlineStr">
        <is>
          <t>Long 98นาที
Zone 2 STRICT</t>
        </is>
      </c>
      <c r="J17" s="114" t="inlineStr">
        <is>
          <t>&gt;=82%</t>
        </is>
      </c>
      <c r="K17" s="130" t="inlineStr">
        <is>
          <t>140-154</t>
        </is>
      </c>
      <c r="L17" s="114" t="inlineStr">
        <is>
          <t>10:00-11:00</t>
        </is>
      </c>
      <c r="M17" s="115" t="inlineStr">
        <is>
          <t>29-35</t>
        </is>
      </c>
      <c r="N17" s="134" t="inlineStr"/>
    </row>
    <row r="18" ht="52" customHeight="1" s="70">
      <c r="B18" s="117" t="inlineStr">
        <is>
          <t>Wk 8</t>
        </is>
      </c>
      <c r="C18" s="173" t="inlineStr">
        <is>
          <t>20 Apr</t>
        </is>
      </c>
      <c r="D18" s="175" t="inlineStr">
        <is>
          <t>Phase 2</t>
        </is>
      </c>
      <c r="E18" s="173" t="inlineStr">
        <is>
          <t>Deload</t>
        </is>
      </c>
      <c r="F18" s="110" t="inlineStr">
        <is>
          <t>Easy 42นาที
140-154 bpm</t>
        </is>
      </c>
      <c r="G18" s="110" t="inlineStr">
        <is>
          <t>Easy 42นาที
140-154 bpm</t>
        </is>
      </c>
      <c r="H18" s="112" t="inlineStr">
        <is>
          <t>4x20วิ (เบา)
30นาที Easy+Strides</t>
        </is>
      </c>
      <c r="I18" s="172" t="inlineStr">
        <is>
          <t>Long 60นาที
Zone 2 STRICT</t>
        </is>
      </c>
      <c r="J18" s="114" t="inlineStr">
        <is>
          <t>&gt;=82%</t>
        </is>
      </c>
      <c r="K18" s="130" t="inlineStr">
        <is>
          <t>140-154</t>
        </is>
      </c>
      <c r="L18" s="114" t="inlineStr">
        <is>
          <t>10:00-11:00</t>
        </is>
      </c>
      <c r="M18" s="115" t="inlineStr">
        <is>
          <t>21-25</t>
        </is>
      </c>
      <c r="N18" s="176" t="inlineStr">
        <is>
          <t>Deload + Cardiac Drift Test</t>
        </is>
      </c>
    </row>
    <row r="19" ht="52" customHeight="1" s="70">
      <c r="B19" s="117" t="inlineStr">
        <is>
          <t>Wk 9</t>
        </is>
      </c>
      <c r="C19" s="118" t="inlineStr">
        <is>
          <t>27 Apr</t>
        </is>
      </c>
      <c r="D19" s="175" t="inlineStr">
        <is>
          <t>Phase 2</t>
        </is>
      </c>
      <c r="E19" s="118" t="inlineStr">
        <is>
          <t>Build</t>
        </is>
      </c>
      <c r="F19" s="110" t="inlineStr">
        <is>
          <t>Easy 62นาที
140-154 bpm</t>
        </is>
      </c>
      <c r="G19" s="110" t="inlineStr">
        <is>
          <t>Easy 62นาที
140-154 bpm</t>
        </is>
      </c>
      <c r="H19" s="112" t="inlineStr">
        <is>
          <t>6x20วิ
30นาที Easy+Strides</t>
        </is>
      </c>
      <c r="I19" s="172" t="inlineStr">
        <is>
          <t>Long 104นาที
Zone 2 STRICT</t>
        </is>
      </c>
      <c r="J19" s="114" t="inlineStr">
        <is>
          <t>&gt;=82%</t>
        </is>
      </c>
      <c r="K19" s="130" t="inlineStr">
        <is>
          <t>140-154</t>
        </is>
      </c>
      <c r="L19" s="114" t="inlineStr">
        <is>
          <t>10:00-11:00</t>
        </is>
      </c>
      <c r="M19" s="115" t="inlineStr">
        <is>
          <t>31-37</t>
        </is>
      </c>
      <c r="N19" s="134" t="inlineStr"/>
    </row>
    <row r="20" ht="52" customHeight="1" s="70">
      <c r="B20" s="117" t="inlineStr">
        <is>
          <t>Wk 10</t>
        </is>
      </c>
      <c r="C20" s="118" t="inlineStr">
        <is>
          <t>04 May</t>
        </is>
      </c>
      <c r="D20" s="175" t="inlineStr">
        <is>
          <t>Phase 2</t>
        </is>
      </c>
      <c r="E20" s="118" t="inlineStr">
        <is>
          <t>Build</t>
        </is>
      </c>
      <c r="F20" s="110" t="inlineStr">
        <is>
          <t>Easy 64นาที
140-154 bpm</t>
        </is>
      </c>
      <c r="G20" s="110" t="inlineStr">
        <is>
          <t>Easy 64นาที
140-154 bpm</t>
        </is>
      </c>
      <c r="H20" s="112" t="inlineStr">
        <is>
          <t>6x20วิ
30นาที Easy+Strides</t>
        </is>
      </c>
      <c r="I20" s="172" t="inlineStr">
        <is>
          <t>Long 107นาที
Zone 2 STRICT</t>
        </is>
      </c>
      <c r="J20" s="114" t="inlineStr">
        <is>
          <t>&gt;=82%</t>
        </is>
      </c>
      <c r="K20" s="130" t="inlineStr">
        <is>
          <t>140-154</t>
        </is>
      </c>
      <c r="L20" s="114" t="inlineStr">
        <is>
          <t>10:00-11:00</t>
        </is>
      </c>
      <c r="M20" s="115" t="inlineStr">
        <is>
          <t>32-38</t>
        </is>
      </c>
      <c r="N20" s="134" t="inlineStr"/>
    </row>
    <row r="21" ht="52" customHeight="1" s="70">
      <c r="B21" s="117" t="inlineStr">
        <is>
          <t>Wk 11</t>
        </is>
      </c>
      <c r="C21" s="118" t="inlineStr">
        <is>
          <t>11 May</t>
        </is>
      </c>
      <c r="D21" s="175" t="inlineStr">
        <is>
          <t>Phase 2</t>
        </is>
      </c>
      <c r="E21" s="118" t="inlineStr">
        <is>
          <t>Build</t>
        </is>
      </c>
      <c r="F21" s="110" t="inlineStr">
        <is>
          <t>Easy 66นาที
140-154 bpm</t>
        </is>
      </c>
      <c r="G21" s="110" t="inlineStr">
        <is>
          <t>Easy 66นาที
140-154 bpm</t>
        </is>
      </c>
      <c r="H21" s="112" t="inlineStr">
        <is>
          <t>6x20วิ
30นาที Easy+Strides</t>
        </is>
      </c>
      <c r="I21" s="172" t="inlineStr">
        <is>
          <t>Long 110นาที
Zone 2 STRICT</t>
        </is>
      </c>
      <c r="J21" s="114" t="inlineStr">
        <is>
          <t>&gt;=82%</t>
        </is>
      </c>
      <c r="K21" s="130" t="inlineStr">
        <is>
          <t>140-154</t>
        </is>
      </c>
      <c r="L21" s="114" t="inlineStr">
        <is>
          <t>10:00-11:00</t>
        </is>
      </c>
      <c r="M21" s="115" t="inlineStr">
        <is>
          <t>33-39</t>
        </is>
      </c>
      <c r="N21" s="134" t="inlineStr"/>
    </row>
    <row r="22" ht="52" customHeight="1" s="70">
      <c r="B22" s="117" t="inlineStr">
        <is>
          <t>Wk 12</t>
        </is>
      </c>
      <c r="C22" s="173" t="inlineStr">
        <is>
          <t>18 May</t>
        </is>
      </c>
      <c r="D22" s="175" t="inlineStr">
        <is>
          <t>Phase 2</t>
        </is>
      </c>
      <c r="E22" s="173" t="inlineStr">
        <is>
          <t>Deload</t>
        </is>
      </c>
      <c r="F22" s="110" t="inlineStr">
        <is>
          <t>Easy 47นาที
140-154 bpm</t>
        </is>
      </c>
      <c r="G22" s="110" t="inlineStr">
        <is>
          <t>Easy 47นาที
140-154 bpm</t>
        </is>
      </c>
      <c r="H22" s="112" t="inlineStr">
        <is>
          <t>4x20วิ (เบา)
30นาที Easy+Strides</t>
        </is>
      </c>
      <c r="I22" s="172" t="inlineStr">
        <is>
          <t>Long 67นาที
Zone 2 STRICT</t>
        </is>
      </c>
      <c r="J22" s="114" t="inlineStr">
        <is>
          <t>&gt;=82%</t>
        </is>
      </c>
      <c r="K22" s="130" t="inlineStr">
        <is>
          <t>140-154</t>
        </is>
      </c>
      <c r="L22" s="114" t="inlineStr">
        <is>
          <t>10:00-11:00</t>
        </is>
      </c>
      <c r="M22" s="115" t="inlineStr">
        <is>
          <t>23-28</t>
        </is>
      </c>
      <c r="N22" s="176" t="inlineStr">
        <is>
          <t>Deload + เปรียบ pace กับ wk1</t>
        </is>
      </c>
    </row>
    <row r="23" ht="52" customHeight="1" s="70">
      <c r="B23" s="117" t="inlineStr">
        <is>
          <t>Wk 13</t>
        </is>
      </c>
      <c r="C23" s="118" t="inlineStr">
        <is>
          <t>25 May</t>
        </is>
      </c>
      <c r="D23" s="175" t="inlineStr">
        <is>
          <t>Phase 2</t>
        </is>
      </c>
      <c r="E23" s="118" t="inlineStr">
        <is>
          <t>Build</t>
        </is>
      </c>
      <c r="F23" s="110" t="inlineStr">
        <is>
          <t>Easy 70นาที
140-154 bpm</t>
        </is>
      </c>
      <c r="G23" s="110" t="inlineStr">
        <is>
          <t>Easy 70นาที
140-154 bpm</t>
        </is>
      </c>
      <c r="H23" s="112" t="inlineStr">
        <is>
          <t>6x20วิ
30นาที Easy+Strides</t>
        </is>
      </c>
      <c r="I23" s="172" t="inlineStr">
        <is>
          <t>Long 116นาที
Zone 2 STRICT</t>
        </is>
      </c>
      <c r="J23" s="114" t="inlineStr">
        <is>
          <t>&gt;=82%</t>
        </is>
      </c>
      <c r="K23" s="130" t="inlineStr">
        <is>
          <t>140-154</t>
        </is>
      </c>
      <c r="L23" s="114" t="inlineStr">
        <is>
          <t>10:00-11:00</t>
        </is>
      </c>
      <c r="M23" s="115" t="inlineStr">
        <is>
          <t>35-41</t>
        </is>
      </c>
      <c r="N23" s="134" t="inlineStr"/>
    </row>
    <row r="24" ht="52" customHeight="1" s="70">
      <c r="B24" s="117" t="inlineStr">
        <is>
          <t>Wk 14</t>
        </is>
      </c>
      <c r="C24" s="118" t="inlineStr">
        <is>
          <t>01 Jun</t>
        </is>
      </c>
      <c r="D24" s="175" t="inlineStr">
        <is>
          <t>Phase 2</t>
        </is>
      </c>
      <c r="E24" s="118" t="inlineStr">
        <is>
          <t>Build</t>
        </is>
      </c>
      <c r="F24" s="110" t="inlineStr">
        <is>
          <t>Easy 72นาที
140-154 bpm</t>
        </is>
      </c>
      <c r="G24" s="110" t="inlineStr">
        <is>
          <t>Easy 72นาที
140-154 bpm</t>
        </is>
      </c>
      <c r="H24" s="112" t="inlineStr">
        <is>
          <t>6x20วิ
30นาที Easy+Strides</t>
        </is>
      </c>
      <c r="I24" s="172" t="inlineStr">
        <is>
          <t>Long 119นาที
Zone 2 STRICT</t>
        </is>
      </c>
      <c r="J24" s="114" t="inlineStr">
        <is>
          <t>&gt;=82%</t>
        </is>
      </c>
      <c r="K24" s="130" t="inlineStr">
        <is>
          <t>140-154</t>
        </is>
      </c>
      <c r="L24" s="114" t="inlineStr">
        <is>
          <t>10:00-11:00</t>
        </is>
      </c>
      <c r="M24" s="115" t="inlineStr">
        <is>
          <t>36-42</t>
        </is>
      </c>
      <c r="N24" s="134" t="inlineStr"/>
    </row>
    <row r="25" ht="7" customHeight="1" s="70"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</row>
    <row r="26" ht="24" customHeight="1" s="70">
      <c r="B26" s="177" t="inlineStr">
        <is>
          <t xml:space="preserve">  Phase 3  --  ก.ค.-ส.ค.  --  Wk 15-22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1" t="n"/>
    </row>
    <row r="27" ht="30" customHeight="1" s="70">
      <c r="B27" s="94" t="inlineStr">
        <is>
          <t>Wk</t>
        </is>
      </c>
      <c r="C27" s="94" t="inlineStr">
        <is>
          <t>วันที่</t>
        </is>
      </c>
      <c r="D27" s="104" t="inlineStr">
        <is>
          <t>Phase</t>
        </is>
      </c>
      <c r="E27" s="94" t="inlineStr">
        <is>
          <t>สัปดาห์</t>
        </is>
      </c>
      <c r="F27" s="91" t="inlineStr">
        <is>
          <t>จันทร์
Easy Run</t>
        </is>
      </c>
      <c r="G27" s="91" t="inlineStr">
        <is>
          <t>พุธ
Easy Run</t>
        </is>
      </c>
      <c r="H27" s="92" t="inlineStr">
        <is>
          <t>พฤหัส
Strides</t>
        </is>
      </c>
      <c r="I27" s="93" t="inlineStr">
        <is>
          <t>เสาร์
Long Run</t>
        </is>
      </c>
      <c r="J27" s="91" t="inlineStr">
        <is>
          <t>Z2%
เป้า</t>
        </is>
      </c>
      <c r="K27" s="92" t="inlineStr">
        <is>
          <t>HR
เป้า</t>
        </is>
      </c>
      <c r="L27" s="91" t="inlineStr">
        <is>
          <t>Pace Z2
เป้า</t>
        </is>
      </c>
      <c r="M27" s="106" t="inlineStr">
        <is>
          <t>km/wk
เป้า</t>
        </is>
      </c>
      <c r="N27" s="94" t="inlineStr">
        <is>
          <t>โน้ต / Test</t>
        </is>
      </c>
    </row>
    <row r="28" ht="52" customHeight="1" s="70">
      <c r="B28" s="120" t="inlineStr">
        <is>
          <t>Wk 15</t>
        </is>
      </c>
      <c r="C28" s="121" t="inlineStr">
        <is>
          <t>08 Jun</t>
        </is>
      </c>
      <c r="D28" s="178" t="inlineStr">
        <is>
          <t>Phase 3</t>
        </is>
      </c>
      <c r="E28" s="121" t="inlineStr">
        <is>
          <t>Build</t>
        </is>
      </c>
      <c r="F28" s="110" t="inlineStr">
        <is>
          <t>Easy 68นาที
140-154 bpm</t>
        </is>
      </c>
      <c r="G28" s="110" t="inlineStr">
        <is>
          <t>Easy 68นาที
140-154 bpm</t>
        </is>
      </c>
      <c r="H28" s="112" t="inlineStr">
        <is>
          <t>8x20วิ
30นาที Easy+Strides</t>
        </is>
      </c>
      <c r="I28" s="172" t="inlineStr">
        <is>
          <t>Long 122นาที
Zone 2 STRICT</t>
        </is>
      </c>
      <c r="J28" s="114" t="inlineStr">
        <is>
          <t>&gt;=83%</t>
        </is>
      </c>
      <c r="K28" s="130" t="inlineStr">
        <is>
          <t>140-154</t>
        </is>
      </c>
      <c r="L28" s="114" t="inlineStr">
        <is>
          <t>9:00-10:00</t>
        </is>
      </c>
      <c r="M28" s="115" t="inlineStr">
        <is>
          <t>36-43</t>
        </is>
      </c>
      <c r="N28" s="137" t="inlineStr"/>
    </row>
    <row r="29" ht="52" customHeight="1" s="70">
      <c r="B29" s="120" t="inlineStr">
        <is>
          <t>Wk 16</t>
        </is>
      </c>
      <c r="C29" s="173" t="inlineStr">
        <is>
          <t>15 Jun</t>
        </is>
      </c>
      <c r="D29" s="178" t="inlineStr">
        <is>
          <t>Phase 3</t>
        </is>
      </c>
      <c r="E29" s="173" t="inlineStr">
        <is>
          <t>Deload</t>
        </is>
      </c>
      <c r="F29" s="110" t="inlineStr">
        <is>
          <t>Easy 48นาที
140-154 bpm</t>
        </is>
      </c>
      <c r="G29" s="110" t="inlineStr">
        <is>
          <t>Easy 48นาที
140-154 bpm</t>
        </is>
      </c>
      <c r="H29" s="112" t="inlineStr">
        <is>
          <t>4x20วิ (เบา)
30นาที Easy+Strides</t>
        </is>
      </c>
      <c r="I29" s="172" t="inlineStr">
        <is>
          <t>Long 75นาที
Zone 2 STRICT</t>
        </is>
      </c>
      <c r="J29" s="114" t="inlineStr">
        <is>
          <t>&gt;=83%</t>
        </is>
      </c>
      <c r="K29" s="130" t="inlineStr">
        <is>
          <t>140-154</t>
        </is>
      </c>
      <c r="L29" s="114" t="inlineStr">
        <is>
          <t>9:00-10:00</t>
        </is>
      </c>
      <c r="M29" s="115" t="inlineStr">
        <is>
          <t>25-30</t>
        </is>
      </c>
      <c r="N29" s="176" t="inlineStr">
        <is>
          <t>Deload + Benchmark pace 8:30</t>
        </is>
      </c>
    </row>
    <row r="30" ht="52" customHeight="1" s="70">
      <c r="B30" s="120" t="inlineStr">
        <is>
          <t>Wk 17</t>
        </is>
      </c>
      <c r="C30" s="121" t="inlineStr">
        <is>
          <t>22 Jun</t>
        </is>
      </c>
      <c r="D30" s="178" t="inlineStr">
        <is>
          <t>Phase 3</t>
        </is>
      </c>
      <c r="E30" s="121" t="inlineStr">
        <is>
          <t>Build</t>
        </is>
      </c>
      <c r="F30" s="110" t="inlineStr">
        <is>
          <t>Easy 70นาที
140-154 bpm</t>
        </is>
      </c>
      <c r="G30" s="110" t="inlineStr">
        <is>
          <t>Easy 70นาที
140-154 bpm</t>
        </is>
      </c>
      <c r="H30" s="112" t="inlineStr">
        <is>
          <t>8x20วิ
30นาที Easy+Strides</t>
        </is>
      </c>
      <c r="I30" s="172" t="inlineStr">
        <is>
          <t>Long 128นาที
Zone 2 STRICT</t>
        </is>
      </c>
      <c r="J30" s="114" t="inlineStr">
        <is>
          <t>&gt;=83%</t>
        </is>
      </c>
      <c r="K30" s="130" t="inlineStr">
        <is>
          <t>140-154</t>
        </is>
      </c>
      <c r="L30" s="114" t="inlineStr">
        <is>
          <t>9:00-10:00</t>
        </is>
      </c>
      <c r="M30" s="115" t="inlineStr">
        <is>
          <t>38-45</t>
        </is>
      </c>
      <c r="N30" s="137" t="inlineStr"/>
    </row>
    <row r="31" ht="52" customHeight="1" s="70">
      <c r="B31" s="120" t="inlineStr">
        <is>
          <t>Wk 18</t>
        </is>
      </c>
      <c r="C31" s="121" t="inlineStr">
        <is>
          <t>29 Jun</t>
        </is>
      </c>
      <c r="D31" s="178" t="inlineStr">
        <is>
          <t>Phase 3</t>
        </is>
      </c>
      <c r="E31" s="121" t="inlineStr">
        <is>
          <t>Build</t>
        </is>
      </c>
      <c r="F31" s="110" t="inlineStr">
        <is>
          <t>Easy 71นาที
140-154 bpm</t>
        </is>
      </c>
      <c r="G31" s="110" t="inlineStr">
        <is>
          <t>Easy 71นาที
140-154 bpm</t>
        </is>
      </c>
      <c r="H31" s="112" t="inlineStr">
        <is>
          <t>8x20วิ
30นาที Easy+Strides</t>
        </is>
      </c>
      <c r="I31" s="172" t="inlineStr">
        <is>
          <t>Long 131นาที
Zone 2 STRICT</t>
        </is>
      </c>
      <c r="J31" s="114" t="inlineStr">
        <is>
          <t>&gt;=83%</t>
        </is>
      </c>
      <c r="K31" s="130" t="inlineStr">
        <is>
          <t>140-154</t>
        </is>
      </c>
      <c r="L31" s="114" t="inlineStr">
        <is>
          <t>9:00-10:00</t>
        </is>
      </c>
      <c r="M31" s="115" t="inlineStr">
        <is>
          <t>39-46</t>
        </is>
      </c>
      <c r="N31" s="137" t="inlineStr">
        <is>
          <t>Tempo 20 นาที (พุธ)</t>
        </is>
      </c>
    </row>
    <row r="32" ht="52" customHeight="1" s="70">
      <c r="B32" s="120" t="inlineStr">
        <is>
          <t>Wk 19</t>
        </is>
      </c>
      <c r="C32" s="121" t="inlineStr">
        <is>
          <t>06 Jul</t>
        </is>
      </c>
      <c r="D32" s="178" t="inlineStr">
        <is>
          <t>Phase 3</t>
        </is>
      </c>
      <c r="E32" s="121" t="inlineStr">
        <is>
          <t>Build</t>
        </is>
      </c>
      <c r="F32" s="110" t="inlineStr">
        <is>
          <t>Easy 72นาที
140-154 bpm</t>
        </is>
      </c>
      <c r="G32" s="110" t="inlineStr">
        <is>
          <t>Easy 72นาที
140-154 bpm</t>
        </is>
      </c>
      <c r="H32" s="112" t="inlineStr">
        <is>
          <t>8x20วิ
30นาที Easy+Strides</t>
        </is>
      </c>
      <c r="I32" s="172" t="inlineStr">
        <is>
          <t>Long 134นาที
Zone 2 STRICT</t>
        </is>
      </c>
      <c r="J32" s="114" t="inlineStr">
        <is>
          <t>&gt;=83%</t>
        </is>
      </c>
      <c r="K32" s="130" t="inlineStr">
        <is>
          <t>140-154</t>
        </is>
      </c>
      <c r="L32" s="114" t="inlineStr">
        <is>
          <t>8:30-9:30</t>
        </is>
      </c>
      <c r="M32" s="115" t="inlineStr">
        <is>
          <t>40-47</t>
        </is>
      </c>
      <c r="N32" s="137" t="inlineStr"/>
    </row>
    <row r="33" ht="52" customHeight="1" s="70">
      <c r="B33" s="120" t="inlineStr">
        <is>
          <t>Wk 20</t>
        </is>
      </c>
      <c r="C33" s="173" t="inlineStr">
        <is>
          <t>13 Jul</t>
        </is>
      </c>
      <c r="D33" s="178" t="inlineStr">
        <is>
          <t>Phase 3</t>
        </is>
      </c>
      <c r="E33" s="173" t="inlineStr">
        <is>
          <t>Deload</t>
        </is>
      </c>
      <c r="F33" s="110" t="inlineStr">
        <is>
          <t>Easy 51นาที
140-154 bpm</t>
        </is>
      </c>
      <c r="G33" s="110" t="inlineStr">
        <is>
          <t>Easy 51นาที
140-154 bpm</t>
        </is>
      </c>
      <c r="H33" s="112" t="inlineStr">
        <is>
          <t>4x20วิ (เบา)
30นาที Easy+Strides</t>
        </is>
      </c>
      <c r="I33" s="172" t="inlineStr">
        <is>
          <t>Long 82นาที
Zone 2 STRICT</t>
        </is>
      </c>
      <c r="J33" s="114" t="inlineStr">
        <is>
          <t>&gt;=83%</t>
        </is>
      </c>
      <c r="K33" s="130" t="inlineStr">
        <is>
          <t>140-154</t>
        </is>
      </c>
      <c r="L33" s="114" t="inlineStr">
        <is>
          <t>8:30-9:30</t>
        </is>
      </c>
      <c r="M33" s="115" t="inlineStr">
        <is>
          <t>28-33</t>
        </is>
      </c>
      <c r="N33" s="176" t="inlineStr">
        <is>
          <t>Deload + Test 5km Zone 2</t>
        </is>
      </c>
    </row>
    <row r="34" ht="52" customHeight="1" s="70">
      <c r="B34" s="120" t="inlineStr">
        <is>
          <t>Wk 21</t>
        </is>
      </c>
      <c r="C34" s="121" t="inlineStr">
        <is>
          <t>20 Jul</t>
        </is>
      </c>
      <c r="D34" s="178" t="inlineStr">
        <is>
          <t>Phase 3</t>
        </is>
      </c>
      <c r="E34" s="121" t="inlineStr">
        <is>
          <t>Build</t>
        </is>
      </c>
      <c r="F34" s="110" t="inlineStr">
        <is>
          <t>Easy 74นาที
140-154 bpm</t>
        </is>
      </c>
      <c r="G34" s="110" t="inlineStr">
        <is>
          <t>Easy 74นาที
140-154 bpm</t>
        </is>
      </c>
      <c r="H34" s="112" t="inlineStr">
        <is>
          <t>8x20วิ
30นาที Easy+Strides</t>
        </is>
      </c>
      <c r="I34" s="172" t="inlineStr">
        <is>
          <t>Long 140นาที
Zone 2 STRICT</t>
        </is>
      </c>
      <c r="J34" s="114" t="inlineStr">
        <is>
          <t>&gt;=83%</t>
        </is>
      </c>
      <c r="K34" s="130" t="inlineStr">
        <is>
          <t>140-154</t>
        </is>
      </c>
      <c r="L34" s="114" t="inlineStr">
        <is>
          <t>8:30-9:30</t>
        </is>
      </c>
      <c r="M34" s="115" t="inlineStr">
        <is>
          <t>42-49</t>
        </is>
      </c>
      <c r="N34" s="137" t="inlineStr"/>
    </row>
    <row r="35" ht="52" customHeight="1" s="70">
      <c r="B35" s="120" t="inlineStr">
        <is>
          <t>Wk 22</t>
        </is>
      </c>
      <c r="C35" s="121" t="inlineStr">
        <is>
          <t>27 Jul</t>
        </is>
      </c>
      <c r="D35" s="178" t="inlineStr">
        <is>
          <t>Phase 3</t>
        </is>
      </c>
      <c r="E35" s="121" t="inlineStr">
        <is>
          <t>Build</t>
        </is>
      </c>
      <c r="F35" s="110" t="inlineStr">
        <is>
          <t>Easy 75นาที
140-154 bpm</t>
        </is>
      </c>
      <c r="G35" s="110" t="inlineStr">
        <is>
          <t>Easy 75นาที
140-154 bpm</t>
        </is>
      </c>
      <c r="H35" s="112" t="inlineStr">
        <is>
          <t>8x20วิ
30นาที Easy+Strides</t>
        </is>
      </c>
      <c r="I35" s="172" t="inlineStr">
        <is>
          <t>Long 140นาที
Zone 2 STRICT</t>
        </is>
      </c>
      <c r="J35" s="114" t="inlineStr">
        <is>
          <t>&gt;=83%</t>
        </is>
      </c>
      <c r="K35" s="130" t="inlineStr">
        <is>
          <t>140-154</t>
        </is>
      </c>
      <c r="L35" s="114" t="inlineStr">
        <is>
          <t>8:30-9:30</t>
        </is>
      </c>
      <c r="M35" s="115" t="inlineStr">
        <is>
          <t>43-50</t>
        </is>
      </c>
      <c r="N35" s="137" t="inlineStr">
        <is>
          <t>Tempo 20 นาที (พุธ)</t>
        </is>
      </c>
    </row>
    <row r="36" ht="7" customHeight="1" s="70"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</row>
    <row r="37" ht="24" customHeight="1" s="70">
      <c r="B37" s="156" t="inlineStr">
        <is>
          <t xml:space="preserve">  Phase 4  --  ก.ย.-ธ.ค.  --  Wk 23-36</t>
        </is>
      </c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1" t="n"/>
    </row>
    <row r="38" ht="30" customHeight="1" s="70">
      <c r="B38" s="94" t="inlineStr">
        <is>
          <t>Wk</t>
        </is>
      </c>
      <c r="C38" s="94" t="inlineStr">
        <is>
          <t>วันที่</t>
        </is>
      </c>
      <c r="D38" s="104" t="inlineStr">
        <is>
          <t>Phase</t>
        </is>
      </c>
      <c r="E38" s="94" t="inlineStr">
        <is>
          <t>สัปดาห์</t>
        </is>
      </c>
      <c r="F38" s="91" t="inlineStr">
        <is>
          <t>จันทร์
Easy Run</t>
        </is>
      </c>
      <c r="G38" s="91" t="inlineStr">
        <is>
          <t>พุธ
Easy Run</t>
        </is>
      </c>
      <c r="H38" s="92" t="inlineStr">
        <is>
          <t>พฤหัส
Strides</t>
        </is>
      </c>
      <c r="I38" s="93" t="inlineStr">
        <is>
          <t>เสาร์
Long Run</t>
        </is>
      </c>
      <c r="J38" s="91" t="inlineStr">
        <is>
          <t>Z2%
เป้า</t>
        </is>
      </c>
      <c r="K38" s="92" t="inlineStr">
        <is>
          <t>HR
เป้า</t>
        </is>
      </c>
      <c r="L38" s="91" t="inlineStr">
        <is>
          <t>Pace Z2
เป้า</t>
        </is>
      </c>
      <c r="M38" s="106" t="inlineStr">
        <is>
          <t>km/wk
เป้า</t>
        </is>
      </c>
      <c r="N38" s="94" t="inlineStr">
        <is>
          <t>โน้ต / Test</t>
        </is>
      </c>
    </row>
    <row r="39" ht="52" customHeight="1" s="70">
      <c r="B39" s="123" t="inlineStr">
        <is>
          <t>Wk 23</t>
        </is>
      </c>
      <c r="C39" s="124" t="inlineStr">
        <is>
          <t>03 Aug</t>
        </is>
      </c>
      <c r="D39" s="130" t="inlineStr">
        <is>
          <t>Phase 4</t>
        </is>
      </c>
      <c r="E39" s="124" t="inlineStr">
        <is>
          <t>Build</t>
        </is>
      </c>
      <c r="F39" s="110" t="inlineStr">
        <is>
          <t>Easy 72นาที
140-154 bpm</t>
        </is>
      </c>
      <c r="G39" s="110" t="inlineStr">
        <is>
          <t>Easy 72นาที
140-154 bpm</t>
        </is>
      </c>
      <c r="H39" s="112" t="inlineStr">
        <is>
          <t>8x20วิ
30นาที Easy+Strides</t>
        </is>
      </c>
      <c r="I39" s="172" t="inlineStr">
        <is>
          <t>Long 140นาที
Zone 2 STRICT</t>
        </is>
      </c>
      <c r="J39" s="114" t="inlineStr">
        <is>
          <t>&gt;=85%</t>
        </is>
      </c>
      <c r="K39" s="130" t="inlineStr">
        <is>
          <t>140-154</t>
        </is>
      </c>
      <c r="L39" s="114" t="inlineStr">
        <is>
          <t>8:00-9:00</t>
        </is>
      </c>
      <c r="M39" s="115" t="inlineStr">
        <is>
          <t>39-47</t>
        </is>
      </c>
      <c r="N39" s="140" t="inlineStr"/>
    </row>
    <row r="40" ht="52" customHeight="1" s="70">
      <c r="B40" s="123" t="inlineStr">
        <is>
          <t>Wk 24</t>
        </is>
      </c>
      <c r="C40" s="173" t="inlineStr">
        <is>
          <t>10 Aug</t>
        </is>
      </c>
      <c r="D40" s="130" t="inlineStr">
        <is>
          <t>Phase 4</t>
        </is>
      </c>
      <c r="E40" s="173" t="inlineStr">
        <is>
          <t>Deload</t>
        </is>
      </c>
      <c r="F40" s="110" t="inlineStr">
        <is>
          <t>Easy 51นาที
140-154 bpm</t>
        </is>
      </c>
      <c r="G40" s="110" t="inlineStr">
        <is>
          <t>Easy 51นาที
140-154 bpm</t>
        </is>
      </c>
      <c r="H40" s="112" t="inlineStr">
        <is>
          <t>4x20วิ (เบา)
30นาที Easy+Strides</t>
        </is>
      </c>
      <c r="I40" s="172" t="inlineStr">
        <is>
          <t>Long 84นาที
Zone 2 STRICT</t>
        </is>
      </c>
      <c r="J40" s="114" t="inlineStr">
        <is>
          <t>&gt;=85%</t>
        </is>
      </c>
      <c r="K40" s="130" t="inlineStr">
        <is>
          <t>140-154</t>
        </is>
      </c>
      <c r="L40" s="114" t="inlineStr">
        <is>
          <t>8:00-9:00</t>
        </is>
      </c>
      <c r="M40" s="115" t="inlineStr">
        <is>
          <t>27-32</t>
        </is>
      </c>
      <c r="N40" s="176" t="inlineStr">
        <is>
          <t>Deload + Test 5km pace 9:00</t>
        </is>
      </c>
    </row>
    <row r="41" ht="52" customHeight="1" s="70">
      <c r="B41" s="123" t="inlineStr">
        <is>
          <t>Wk 25</t>
        </is>
      </c>
      <c r="C41" s="124" t="inlineStr">
        <is>
          <t>17 Aug</t>
        </is>
      </c>
      <c r="D41" s="130" t="inlineStr">
        <is>
          <t>Phase 4</t>
        </is>
      </c>
      <c r="E41" s="124" t="inlineStr">
        <is>
          <t>Build</t>
        </is>
      </c>
      <c r="F41" s="110" t="inlineStr">
        <is>
          <t>Easy 74นาที
140-154 bpm</t>
        </is>
      </c>
      <c r="G41" s="110" t="inlineStr">
        <is>
          <t>Easy 74นาที
140-154 bpm</t>
        </is>
      </c>
      <c r="H41" s="112" t="inlineStr">
        <is>
          <t>8x20วิ
30นาที Easy+Strides</t>
        </is>
      </c>
      <c r="I41" s="172" t="inlineStr">
        <is>
          <t>Long 140นาที
Zone 2 STRICT</t>
        </is>
      </c>
      <c r="J41" s="114" t="inlineStr">
        <is>
          <t>&gt;=85%</t>
        </is>
      </c>
      <c r="K41" s="130" t="inlineStr">
        <is>
          <t>140-154</t>
        </is>
      </c>
      <c r="L41" s="114" t="inlineStr">
        <is>
          <t>8:00-9:00</t>
        </is>
      </c>
      <c r="M41" s="115" t="inlineStr">
        <is>
          <t>40-48</t>
        </is>
      </c>
      <c r="N41" s="140" t="inlineStr"/>
    </row>
    <row r="42" ht="52" customHeight="1" s="70">
      <c r="B42" s="123" t="inlineStr">
        <is>
          <t>Wk 26</t>
        </is>
      </c>
      <c r="C42" s="124" t="inlineStr">
        <is>
          <t>24 Aug</t>
        </is>
      </c>
      <c r="D42" s="130" t="inlineStr">
        <is>
          <t>Phase 4</t>
        </is>
      </c>
      <c r="E42" s="124" t="inlineStr">
        <is>
          <t>Build</t>
        </is>
      </c>
      <c r="F42" s="110" t="inlineStr">
        <is>
          <t>Easy 75นาที
140-154 bpm</t>
        </is>
      </c>
      <c r="G42" s="110" t="inlineStr">
        <is>
          <t>Easy 75นาที
140-154 bpm</t>
        </is>
      </c>
      <c r="H42" s="112" t="inlineStr">
        <is>
          <t>8x20วิ
30นาที Easy+Strides</t>
        </is>
      </c>
      <c r="I42" s="172" t="inlineStr">
        <is>
          <t>Long 140นาที
Zone 2 STRICT</t>
        </is>
      </c>
      <c r="J42" s="114" t="inlineStr">
        <is>
          <t>&gt;=85%</t>
        </is>
      </c>
      <c r="K42" s="130" t="inlineStr">
        <is>
          <t>140-154</t>
        </is>
      </c>
      <c r="L42" s="114" t="inlineStr">
        <is>
          <t>8:00-9:00</t>
        </is>
      </c>
      <c r="M42" s="115" t="inlineStr">
        <is>
          <t>40-48</t>
        </is>
      </c>
      <c r="N42" s="140" t="inlineStr">
        <is>
          <t>Tempo 25 นาที (พุธ)</t>
        </is>
      </c>
    </row>
    <row r="43" ht="52" customHeight="1" s="70">
      <c r="B43" s="123" t="inlineStr">
        <is>
          <t>Wk 27</t>
        </is>
      </c>
      <c r="C43" s="124" t="inlineStr">
        <is>
          <t>31 Aug</t>
        </is>
      </c>
      <c r="D43" s="130" t="inlineStr">
        <is>
          <t>Phase 4</t>
        </is>
      </c>
      <c r="E43" s="124" t="inlineStr">
        <is>
          <t>Build</t>
        </is>
      </c>
      <c r="F43" s="110" t="inlineStr">
        <is>
          <t>Easy 76นาที
140-154 bpm</t>
        </is>
      </c>
      <c r="G43" s="110" t="inlineStr">
        <is>
          <t>Easy 76นาที
140-154 bpm</t>
        </is>
      </c>
      <c r="H43" s="112" t="inlineStr">
        <is>
          <t>8x20วิ
30นาที Easy+Strides</t>
        </is>
      </c>
      <c r="I43" s="172" t="inlineStr">
        <is>
          <t>Long 140นาที
Zone 2 STRICT</t>
        </is>
      </c>
      <c r="J43" s="114" t="inlineStr">
        <is>
          <t>&gt;=85%</t>
        </is>
      </c>
      <c r="K43" s="130" t="inlineStr">
        <is>
          <t>140-154</t>
        </is>
      </c>
      <c r="L43" s="114" t="inlineStr">
        <is>
          <t>7:30-8:30</t>
        </is>
      </c>
      <c r="M43" s="115" t="inlineStr">
        <is>
          <t>41-49</t>
        </is>
      </c>
      <c r="N43" s="140" t="inlineStr"/>
    </row>
    <row r="44" ht="52" customHeight="1" s="70">
      <c r="B44" s="123" t="inlineStr">
        <is>
          <t>Wk 28</t>
        </is>
      </c>
      <c r="C44" s="173" t="inlineStr">
        <is>
          <t>07 Sep</t>
        </is>
      </c>
      <c r="D44" s="130" t="inlineStr">
        <is>
          <t>Phase 4</t>
        </is>
      </c>
      <c r="E44" s="173" t="inlineStr">
        <is>
          <t>Deload</t>
        </is>
      </c>
      <c r="F44" s="110" t="inlineStr">
        <is>
          <t>Easy 53นาที
140-154 bpm</t>
        </is>
      </c>
      <c r="G44" s="110" t="inlineStr">
        <is>
          <t>Easy 53นาที
140-154 bpm</t>
        </is>
      </c>
      <c r="H44" s="112" t="inlineStr">
        <is>
          <t>4x20วิ (เบา)
30นาที Easy+Strides</t>
        </is>
      </c>
      <c r="I44" s="172" t="inlineStr">
        <is>
          <t>Long 84นาที
Zone 2 STRICT</t>
        </is>
      </c>
      <c r="J44" s="114" t="inlineStr">
        <is>
          <t>&gt;=85%</t>
        </is>
      </c>
      <c r="K44" s="130" t="inlineStr">
        <is>
          <t>140-154</t>
        </is>
      </c>
      <c r="L44" s="114" t="inlineStr">
        <is>
          <t>7:30-8:30</t>
        </is>
      </c>
      <c r="M44" s="115" t="inlineStr">
        <is>
          <t>28-34</t>
        </is>
      </c>
      <c r="N44" s="176" t="inlineStr">
        <is>
          <t>Deload + Test 5km pace 8:00</t>
        </is>
      </c>
    </row>
    <row r="45" ht="52" customHeight="1" s="70">
      <c r="B45" s="123" t="inlineStr">
        <is>
          <t>Wk 29</t>
        </is>
      </c>
      <c r="C45" s="124" t="inlineStr">
        <is>
          <t>14 Sep</t>
        </is>
      </c>
      <c r="D45" s="130" t="inlineStr">
        <is>
          <t>Phase 4</t>
        </is>
      </c>
      <c r="E45" s="124" t="inlineStr">
        <is>
          <t>Build</t>
        </is>
      </c>
      <c r="F45" s="110" t="inlineStr">
        <is>
          <t>Easy 78นาที
140-154 bpm</t>
        </is>
      </c>
      <c r="G45" s="110" t="inlineStr">
        <is>
          <t>Easy 78นาที
140-154 bpm</t>
        </is>
      </c>
      <c r="H45" s="112" t="inlineStr">
        <is>
          <t>8x20วิ
30นาที Easy+Strides</t>
        </is>
      </c>
      <c r="I45" s="172" t="inlineStr">
        <is>
          <t>Long 140นาที
Zone 2 STRICT</t>
        </is>
      </c>
      <c r="J45" s="114" t="inlineStr">
        <is>
          <t>&gt;=85%</t>
        </is>
      </c>
      <c r="K45" s="130" t="inlineStr">
        <is>
          <t>140-154</t>
        </is>
      </c>
      <c r="L45" s="114" t="inlineStr">
        <is>
          <t>7:30-8:30</t>
        </is>
      </c>
      <c r="M45" s="115" t="inlineStr">
        <is>
          <t>42-50</t>
        </is>
      </c>
      <c r="N45" s="140" t="inlineStr"/>
    </row>
    <row r="46" ht="52" customHeight="1" s="70">
      <c r="B46" s="123" t="inlineStr">
        <is>
          <t>Wk 30</t>
        </is>
      </c>
      <c r="C46" s="124" t="inlineStr">
        <is>
          <t>21 Sep</t>
        </is>
      </c>
      <c r="D46" s="130" t="inlineStr">
        <is>
          <t>Phase 4</t>
        </is>
      </c>
      <c r="E46" s="124" t="inlineStr">
        <is>
          <t>Build</t>
        </is>
      </c>
      <c r="F46" s="110" t="inlineStr">
        <is>
          <t>Easy 79นาที
140-154 bpm</t>
        </is>
      </c>
      <c r="G46" s="110" t="inlineStr">
        <is>
          <t>Easy 79นาที
140-154 bpm</t>
        </is>
      </c>
      <c r="H46" s="112" t="inlineStr">
        <is>
          <t>8x20วิ
30นาที Easy+Strides</t>
        </is>
      </c>
      <c r="I46" s="172" t="inlineStr">
        <is>
          <t>Long 140นาที
Zone 2 STRICT</t>
        </is>
      </c>
      <c r="J46" s="114" t="inlineStr">
        <is>
          <t>&gt;=85%</t>
        </is>
      </c>
      <c r="K46" s="130" t="inlineStr">
        <is>
          <t>140-154</t>
        </is>
      </c>
      <c r="L46" s="114" t="inlineStr">
        <is>
          <t>7:30-8:30</t>
        </is>
      </c>
      <c r="M46" s="115" t="inlineStr">
        <is>
          <t>42-50</t>
        </is>
      </c>
      <c r="N46" s="140" t="inlineStr">
        <is>
          <t>Tempo 25 นาที (พุธ)</t>
        </is>
      </c>
    </row>
    <row r="47" ht="52" customHeight="1" s="70">
      <c r="B47" s="123" t="inlineStr">
        <is>
          <t>Wk 31</t>
        </is>
      </c>
      <c r="C47" s="124" t="inlineStr">
        <is>
          <t>28 Sep</t>
        </is>
      </c>
      <c r="D47" s="130" t="inlineStr">
        <is>
          <t>Phase 4</t>
        </is>
      </c>
      <c r="E47" s="124" t="inlineStr">
        <is>
          <t>Build</t>
        </is>
      </c>
      <c r="F47" s="110" t="inlineStr">
        <is>
          <t>Easy 80นาที
140-154 bpm</t>
        </is>
      </c>
      <c r="G47" s="110" t="inlineStr">
        <is>
          <t>Easy 80นาที
140-154 bpm</t>
        </is>
      </c>
      <c r="H47" s="112" t="inlineStr">
        <is>
          <t>8x20วิ
30นาที Easy+Strides</t>
        </is>
      </c>
      <c r="I47" s="172" t="inlineStr">
        <is>
          <t>Long 140นาที
Zone 2 STRICT</t>
        </is>
      </c>
      <c r="J47" s="114" t="inlineStr">
        <is>
          <t>&gt;=85%</t>
        </is>
      </c>
      <c r="K47" s="130" t="inlineStr">
        <is>
          <t>140-154</t>
        </is>
      </c>
      <c r="L47" s="114" t="inlineStr">
        <is>
          <t>7:00-8:00</t>
        </is>
      </c>
      <c r="M47" s="115" t="inlineStr">
        <is>
          <t>43-51</t>
        </is>
      </c>
      <c r="N47" s="140" t="inlineStr"/>
    </row>
    <row r="48" ht="52" customHeight="1" s="70">
      <c r="B48" s="123" t="inlineStr">
        <is>
          <t>Wk 32</t>
        </is>
      </c>
      <c r="C48" s="173" t="inlineStr">
        <is>
          <t>05 Oct</t>
        </is>
      </c>
      <c r="D48" s="130" t="inlineStr">
        <is>
          <t>Phase 4</t>
        </is>
      </c>
      <c r="E48" s="173" t="inlineStr">
        <is>
          <t>Deload</t>
        </is>
      </c>
      <c r="F48" s="110" t="inlineStr">
        <is>
          <t>Easy 56นาที
140-154 bpm</t>
        </is>
      </c>
      <c r="G48" s="110" t="inlineStr">
        <is>
          <t>Easy 56นาที
140-154 bpm</t>
        </is>
      </c>
      <c r="H48" s="112" t="inlineStr">
        <is>
          <t>4x20วิ (เบา)
30นาที Easy+Strides</t>
        </is>
      </c>
      <c r="I48" s="172" t="inlineStr">
        <is>
          <t>Long 84นาที
Zone 2 STRICT</t>
        </is>
      </c>
      <c r="J48" s="114" t="inlineStr">
        <is>
          <t>&gt;=85%</t>
        </is>
      </c>
      <c r="K48" s="130" t="inlineStr">
        <is>
          <t>140-154</t>
        </is>
      </c>
      <c r="L48" s="114" t="inlineStr">
        <is>
          <t>7:00-8:00</t>
        </is>
      </c>
      <c r="M48" s="115" t="inlineStr">
        <is>
          <t>30-35</t>
        </is>
      </c>
      <c r="N48" s="176" t="inlineStr">
        <is>
          <t>Deload + Test 5km pace 7:30</t>
        </is>
      </c>
    </row>
    <row r="49" ht="52" customHeight="1" s="70">
      <c r="B49" s="123" t="inlineStr">
        <is>
          <t>Wk 33</t>
        </is>
      </c>
      <c r="C49" s="124" t="inlineStr">
        <is>
          <t>12 Oct</t>
        </is>
      </c>
      <c r="D49" s="130" t="inlineStr">
        <is>
          <t>Phase 4</t>
        </is>
      </c>
      <c r="E49" s="124" t="inlineStr">
        <is>
          <t>Build</t>
        </is>
      </c>
      <c r="F49" s="110" t="inlineStr">
        <is>
          <t>Easy 80นาที
140-154 bpm</t>
        </is>
      </c>
      <c r="G49" s="110" t="inlineStr">
        <is>
          <t>Easy 80นาที
140-154 bpm</t>
        </is>
      </c>
      <c r="H49" s="112" t="inlineStr">
        <is>
          <t>8x20วิ
30นาที Easy+Strides</t>
        </is>
      </c>
      <c r="I49" s="172" t="inlineStr">
        <is>
          <t>Long 140นาที
Zone 2 STRICT</t>
        </is>
      </c>
      <c r="J49" s="114" t="inlineStr">
        <is>
          <t>&gt;=85%</t>
        </is>
      </c>
      <c r="K49" s="130" t="inlineStr">
        <is>
          <t>140-154</t>
        </is>
      </c>
      <c r="L49" s="114" t="inlineStr">
        <is>
          <t>7:00-8:00</t>
        </is>
      </c>
      <c r="M49" s="115" t="inlineStr">
        <is>
          <t>44-52</t>
        </is>
      </c>
      <c r="N49" s="140" t="inlineStr"/>
    </row>
    <row r="50" ht="52" customHeight="1" s="70">
      <c r="B50" s="123" t="inlineStr">
        <is>
          <t>Wk 34</t>
        </is>
      </c>
      <c r="C50" s="124" t="inlineStr">
        <is>
          <t>19 Oct</t>
        </is>
      </c>
      <c r="D50" s="130" t="inlineStr">
        <is>
          <t>Phase 4</t>
        </is>
      </c>
      <c r="E50" s="124" t="inlineStr">
        <is>
          <t>Build</t>
        </is>
      </c>
      <c r="F50" s="110" t="inlineStr">
        <is>
          <t>Easy 80นาที
140-154 bpm</t>
        </is>
      </c>
      <c r="G50" s="110" t="inlineStr">
        <is>
          <t>Easy 80นาที
140-154 bpm</t>
        </is>
      </c>
      <c r="H50" s="112" t="inlineStr">
        <is>
          <t>8x20วิ
30นาที Easy+Strides</t>
        </is>
      </c>
      <c r="I50" s="172" t="inlineStr">
        <is>
          <t>Long 140นาที
Zone 2 STRICT</t>
        </is>
      </c>
      <c r="J50" s="114" t="inlineStr">
        <is>
          <t>&gt;=85%</t>
        </is>
      </c>
      <c r="K50" s="130" t="inlineStr">
        <is>
          <t>140-154</t>
        </is>
      </c>
      <c r="L50" s="114" t="inlineStr">
        <is>
          <t>7:00-8:00</t>
        </is>
      </c>
      <c r="M50" s="115" t="inlineStr">
        <is>
          <t>44-52</t>
        </is>
      </c>
      <c r="N50" s="140" t="inlineStr">
        <is>
          <t>Tempo 25 นาที (พุธ)</t>
        </is>
      </c>
    </row>
    <row r="51" ht="52" customHeight="1" s="70">
      <c r="B51" s="123" t="inlineStr">
        <is>
          <t>Wk 35</t>
        </is>
      </c>
      <c r="C51" s="124" t="inlineStr">
        <is>
          <t>26 Oct</t>
        </is>
      </c>
      <c r="D51" s="130" t="inlineStr">
        <is>
          <t>Phase 4</t>
        </is>
      </c>
      <c r="E51" s="124" t="inlineStr">
        <is>
          <t>Build</t>
        </is>
      </c>
      <c r="F51" s="110" t="inlineStr">
        <is>
          <t>Easy 80นาที
140-154 bpm</t>
        </is>
      </c>
      <c r="G51" s="110" t="inlineStr">
        <is>
          <t>Easy 80นาที
140-154 bpm</t>
        </is>
      </c>
      <c r="H51" s="112" t="inlineStr">
        <is>
          <t>8x20วิ
30นาที Easy+Strides</t>
        </is>
      </c>
      <c r="I51" s="172" t="inlineStr">
        <is>
          <t>Long 140นาที
Zone 2 STRICT</t>
        </is>
      </c>
      <c r="J51" s="114" t="inlineStr">
        <is>
          <t>&gt;=85%</t>
        </is>
      </c>
      <c r="K51" s="130" t="inlineStr">
        <is>
          <t>140-154</t>
        </is>
      </c>
      <c r="L51" s="114" t="inlineStr">
        <is>
          <t>7:00 GOAL</t>
        </is>
      </c>
      <c r="M51" s="115" t="inlineStr">
        <is>
          <t>45-53</t>
        </is>
      </c>
      <c r="N51" s="140" t="inlineStr"/>
    </row>
    <row r="52" ht="52" customHeight="1" s="70">
      <c r="B52" s="123" t="inlineStr">
        <is>
          <t>Wk 36</t>
        </is>
      </c>
      <c r="C52" s="173" t="inlineStr">
        <is>
          <t>02 Nov</t>
        </is>
      </c>
      <c r="D52" s="130" t="inlineStr">
        <is>
          <t>Phase 4</t>
        </is>
      </c>
      <c r="E52" s="173" t="inlineStr">
        <is>
          <t>Deload</t>
        </is>
      </c>
      <c r="F52" s="110" t="inlineStr">
        <is>
          <t>Easy 56นาที
140-154 bpm</t>
        </is>
      </c>
      <c r="G52" s="110" t="inlineStr">
        <is>
          <t>Easy 56นาที
140-154 bpm</t>
        </is>
      </c>
      <c r="H52" s="112" t="inlineStr">
        <is>
          <t>4x20วิ (เบา)
30นาที Easy+Strides</t>
        </is>
      </c>
      <c r="I52" s="172" t="inlineStr">
        <is>
          <t>Long 84นาที
Zone 2 STRICT</t>
        </is>
      </c>
      <c r="J52" s="114" t="inlineStr">
        <is>
          <t>&gt;=85%</t>
        </is>
      </c>
      <c r="K52" s="130" t="inlineStr">
        <is>
          <t>140-154</t>
        </is>
      </c>
      <c r="L52" s="114" t="inlineStr">
        <is>
          <t>7:00 GOAL</t>
        </is>
      </c>
      <c r="M52" s="115" t="inlineStr">
        <is>
          <t>31-37</t>
        </is>
      </c>
      <c r="N52" s="179" t="inlineStr">
        <is>
          <t>FINAL TEST: 5km Zone 2 pace 7:00</t>
        </is>
      </c>
    </row>
  </sheetData>
  <mergeCells count="12">
    <mergeCell ref="F4:G4"/>
    <mergeCell ref="J4:K4"/>
    <mergeCell ref="B37:N37"/>
    <mergeCell ref="B1:N1"/>
    <mergeCell ref="B26:N26"/>
    <mergeCell ref="D4:E4"/>
    <mergeCell ref="H4:I4"/>
    <mergeCell ref="B15:N15"/>
    <mergeCell ref="L4:N4"/>
    <mergeCell ref="B6:N6"/>
    <mergeCell ref="B2:N2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A878"/>
    <outlinePr summaryBelow="1" summaryRight="1"/>
    <pageSetUpPr/>
  </sheetPr>
  <dimension ref="B2:Q59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4.43" defaultRowHeight="15" customHeight="1"/>
  <cols>
    <col width="2" customWidth="1" style="70" min="1" max="1"/>
    <col width="6" customWidth="1" style="70" min="2" max="2"/>
    <col width="14" customWidth="1" style="70" min="3" max="3"/>
    <col width="10" customWidth="1" style="70" min="4" max="4"/>
    <col width="16" customWidth="1" style="70" min="5" max="5"/>
    <col width="14" customWidth="1" style="70" min="6" max="6"/>
    <col width="12" customWidth="1" style="70" min="7" max="7"/>
    <col width="10" customWidth="1" style="70" min="8" max="8"/>
    <col width="14" customWidth="1" style="70" min="9" max="9"/>
    <col width="12" customWidth="1" style="70" min="10" max="12"/>
    <col width="14" customWidth="1" style="70" min="13" max="15"/>
    <col width="29.43" customWidth="1" style="70" min="16" max="16"/>
    <col width="18" customWidth="1" style="70" min="17" max="17"/>
    <col width="8.710000000000001" customWidth="1" style="70" min="18" max="26"/>
  </cols>
  <sheetData>
    <row r="1" ht="7.5" customHeight="1" s="70"/>
    <row r="2" ht="36" customHeight="1" s="70">
      <c r="B2" s="84" t="inlineStr">
        <is>
          <t>📝 Run Log — กรอกข้อมูลการวิ่งทุกครั้ง</t>
        </is>
      </c>
    </row>
    <row r="3" ht="18" customHeight="1" s="70">
      <c r="B3" s="85" t="inlineStr">
        <is>
          <t>กรอก: วันที่ | ประเภท | เวลา | ระยะ | Pace avg | HR เฉลี่ย | HR Max | Zone 2 % | Pace ที่ Zone 2    ← คอลัมน์สีเขียวคำนวณอัตโนมัติ</t>
        </is>
      </c>
    </row>
    <row r="4" ht="36" customHeight="1" s="70">
      <c r="B4" s="40" t="inlineStr">
        <is>
          <t>#</t>
        </is>
      </c>
      <c r="C4" s="40" t="inlineStr">
        <is>
          <t>วันที่</t>
        </is>
      </c>
      <c r="D4" s="32" t="inlineStr">
        <is>
          <t>สัปดาห์
(auto)</t>
        </is>
      </c>
      <c r="E4" s="40" t="inlineStr">
        <is>
          <t>ประเภท</t>
        </is>
      </c>
      <c r="F4" s="40" t="inlineStr">
        <is>
          <t>เวลา
(นาที)</t>
        </is>
      </c>
      <c r="G4" s="40" t="inlineStr">
        <is>
          <t>ระยะ
(กม.)</t>
        </is>
      </c>
      <c r="H4" s="32" t="inlineStr">
        <is>
          <t>เดือน
(auto)</t>
        </is>
      </c>
      <c r="I4" s="40" t="inlineStr">
        <is>
          <t>Pace avg
(นาที/กม.)</t>
        </is>
      </c>
      <c r="J4" s="40" t="inlineStr">
        <is>
          <t>HR เฉลี่ย
(bpm)</t>
        </is>
      </c>
      <c r="K4" s="40" t="inlineStr">
        <is>
          <t>HR Max
(bpm)</t>
        </is>
      </c>
      <c r="L4" s="40" t="inlineStr">
        <is>
          <t>Zone 2 %
(0–100)</t>
        </is>
      </c>
      <c r="M4" s="40" t="inlineStr">
        <is>
          <t>Pace ที่ Zone 2
(นาที/กม.)</t>
        </is>
      </c>
      <c r="N4" s="40" t="inlineStr">
        <is>
          <t>Cardiac
Drift (bpm)</t>
        </is>
      </c>
      <c r="O4" s="40" t="inlineStr">
        <is>
          <t>อุณหภูมิ
(°C)</t>
        </is>
      </c>
      <c r="P4" s="40" t="inlineStr">
        <is>
          <t>รองเท้า</t>
        </is>
      </c>
      <c r="Q4" s="40" t="inlineStr">
        <is>
          <t>โน้ต</t>
        </is>
      </c>
    </row>
    <row r="5" ht="21.75" customHeight="1" s="70">
      <c r="B5" s="20" t="n">
        <v>1</v>
      </c>
      <c r="C5" s="19" t="inlineStr">
        <is>
          <t>2026-02-14</t>
        </is>
      </c>
      <c r="D5" s="36">
        <f>IFERROR(WEEKNUM(C5,2),"")</f>
        <v/>
      </c>
      <c r="E5" s="41" t="inlineStr">
        <is>
          <t>Easy Run</t>
        </is>
      </c>
      <c r="F5" s="20" t="n">
        <v>50</v>
      </c>
      <c r="G5" s="21" t="n">
        <v>4.3</v>
      </c>
      <c r="H5" s="36">
        <f>IFERROR(MONTH(C5),"")</f>
        <v/>
      </c>
      <c r="I5" s="42" t="n">
        <v>11.77</v>
      </c>
      <c r="J5" s="20" t="n">
        <v>147</v>
      </c>
      <c r="K5" s="20" t="n">
        <v>158</v>
      </c>
      <c r="L5" s="22" t="n">
        <v>0.85</v>
      </c>
      <c r="M5" s="42" t="n">
        <v>11.5</v>
      </c>
      <c r="N5" s="20" t="n">
        <v>3</v>
      </c>
      <c r="O5" s="20" t="n">
        <v>28</v>
      </c>
      <c r="P5" s="41" t="inlineStr">
        <is>
          <t>👟</t>
        </is>
      </c>
      <c r="Q5" s="41" t="n"/>
    </row>
    <row r="6" ht="21.75" customHeight="1" s="70">
      <c r="B6" s="28" t="n">
        <v>2</v>
      </c>
      <c r="C6" s="23" t="inlineStr">
        <is>
          <t>2026-02-15</t>
        </is>
      </c>
      <c r="D6" s="36">
        <f>IFERROR(WEEKNUM(C6,2),"")</f>
        <v/>
      </c>
      <c r="E6" s="43" t="inlineStr">
        <is>
          <t>Long Run</t>
        </is>
      </c>
      <c r="F6" s="28" t="n">
        <v>100</v>
      </c>
      <c r="G6" s="29" t="n">
        <v>8.9</v>
      </c>
      <c r="H6" s="36">
        <f>IFERROR(MONTH(C6),"")</f>
        <v/>
      </c>
      <c r="I6" s="44" t="n">
        <v>11.23</v>
      </c>
      <c r="J6" s="28" t="n">
        <v>158</v>
      </c>
      <c r="K6" s="28" t="n">
        <v>177</v>
      </c>
      <c r="L6" s="31" t="n">
        <v>0.28</v>
      </c>
      <c r="M6" s="44" t="n"/>
      <c r="N6" s="28" t="n">
        <v>12</v>
      </c>
      <c r="O6" s="28" t="n">
        <v>28</v>
      </c>
      <c r="P6" s="43" t="inlineStr">
        <is>
          <t>👟 ⚠ HR สูง</t>
        </is>
      </c>
      <c r="Q6" s="43" t="n"/>
    </row>
    <row r="7" ht="21.75" customHeight="1" s="70">
      <c r="B7" s="20" t="n">
        <v>3</v>
      </c>
      <c r="C7" s="19" t="inlineStr">
        <is>
          <t>2026-02-18</t>
        </is>
      </c>
      <c r="D7" s="36">
        <f>IFERROR(WEEKNUM(C7,2),"")</f>
        <v/>
      </c>
      <c r="E7" s="41" t="inlineStr">
        <is>
          <t>Easy Run</t>
        </is>
      </c>
      <c r="F7" s="20" t="n">
        <v>50</v>
      </c>
      <c r="G7" s="21" t="n">
        <v>4.1</v>
      </c>
      <c r="H7" s="36">
        <f>IFERROR(MONTH(C7),"")</f>
        <v/>
      </c>
      <c r="I7" s="42" t="n">
        <v>12.23</v>
      </c>
      <c r="J7" s="20" t="n">
        <v>146</v>
      </c>
      <c r="K7" s="20" t="n">
        <v>156</v>
      </c>
      <c r="L7" s="22" t="n">
        <v>0.95</v>
      </c>
      <c r="M7" s="42" t="n">
        <v>12.2</v>
      </c>
      <c r="N7" s="20" t="n">
        <v>2</v>
      </c>
      <c r="O7" s="20" t="n">
        <v>30</v>
      </c>
      <c r="P7" s="41" t="inlineStr">
        <is>
          <t>👟</t>
        </is>
      </c>
      <c r="Q7" s="41" t="n"/>
    </row>
    <row r="8" ht="21.75" customHeight="1" s="70">
      <c r="B8" s="28" t="n">
        <v>4</v>
      </c>
      <c r="C8" s="23" t="inlineStr">
        <is>
          <t>2026-02-21</t>
        </is>
      </c>
      <c r="D8" s="36">
        <f>IFERROR(WEEKNUM(C8,2),"")</f>
        <v/>
      </c>
      <c r="E8" s="43" t="inlineStr">
        <is>
          <t>Progressive</t>
        </is>
      </c>
      <c r="F8" s="28" t="n">
        <v>53</v>
      </c>
      <c r="G8" s="29" t="n">
        <v>4.5</v>
      </c>
      <c r="H8" s="36">
        <f>IFERROR(MONTH(C8),"")</f>
        <v/>
      </c>
      <c r="I8" s="44" t="n">
        <v>11.82</v>
      </c>
      <c r="J8" s="28" t="n">
        <v>152</v>
      </c>
      <c r="K8" s="28" t="n">
        <v>170</v>
      </c>
      <c r="L8" s="31" t="n">
        <v>0.74</v>
      </c>
      <c r="M8" s="44" t="n">
        <v>11.8</v>
      </c>
      <c r="N8" s="28" t="n">
        <v>8</v>
      </c>
      <c r="O8" s="28" t="n">
        <v>29</v>
      </c>
      <c r="P8" s="43" t="inlineStr">
        <is>
          <t>👟</t>
        </is>
      </c>
      <c r="Q8" s="43" t="n"/>
    </row>
    <row r="9" ht="21.75" customHeight="1" s="70">
      <c r="B9" s="20" t="n">
        <v>5</v>
      </c>
      <c r="C9" s="19" t="inlineStr">
        <is>
          <t>2026-02-22</t>
        </is>
      </c>
      <c r="D9" s="36">
        <f>IFERROR(WEEKNUM(C9,2),"")</f>
        <v/>
      </c>
      <c r="E9" s="41" t="inlineStr">
        <is>
          <t>Long Run</t>
        </is>
      </c>
      <c r="F9" s="20" t="n">
        <v>90</v>
      </c>
      <c r="G9" s="21" t="n">
        <v>7.1</v>
      </c>
      <c r="H9" s="36">
        <f>IFERROR(MONTH(C9),"")</f>
        <v/>
      </c>
      <c r="I9" s="42" t="n">
        <v>12.72</v>
      </c>
      <c r="J9" s="20" t="n">
        <v>151</v>
      </c>
      <c r="K9" s="20" t="n">
        <v>170</v>
      </c>
      <c r="L9" s="22" t="n">
        <v>0.79</v>
      </c>
      <c r="M9" s="42" t="n">
        <v>12.7</v>
      </c>
      <c r="N9" s="20" t="n">
        <v>6</v>
      </c>
      <c r="O9" s="20" t="n">
        <v>31</v>
      </c>
      <c r="P9" s="41" t="inlineStr">
        <is>
          <t>👟</t>
        </is>
      </c>
      <c r="Q9" s="41" t="n"/>
    </row>
    <row r="10" ht="21.75" customHeight="1" s="70">
      <c r="B10" s="20">
        <f>IFERROR(ROW()-9,"")</f>
        <v/>
      </c>
      <c r="C10" s="20" t="n"/>
      <c r="D10" s="36">
        <f>IFERROR(WEEKNUM(C10,2),"")</f>
        <v/>
      </c>
      <c r="E10" s="20" t="n"/>
      <c r="F10" s="20" t="n"/>
      <c r="G10" s="21" t="n"/>
      <c r="H10" s="36">
        <f>IFERROR(MONTH(C10),"")</f>
        <v/>
      </c>
      <c r="I10" s="42" t="n"/>
      <c r="J10" s="20" t="n"/>
      <c r="K10" s="20" t="n"/>
      <c r="L10" s="22" t="n"/>
      <c r="M10" s="42" t="n"/>
      <c r="N10" s="20" t="n"/>
      <c r="O10" s="20" t="n"/>
      <c r="P10" s="20" t="n"/>
      <c r="Q10" s="20" t="n"/>
    </row>
    <row r="11" ht="21.75" customHeight="1" s="70">
      <c r="B11" s="28">
        <f>IFERROR(ROW()-9,"")</f>
        <v/>
      </c>
      <c r="C11" s="28" t="n"/>
      <c r="D11" s="36">
        <f>IFERROR(WEEKNUM(C11,2),"")</f>
        <v/>
      </c>
      <c r="E11" s="28" t="n"/>
      <c r="F11" s="28" t="n"/>
      <c r="G11" s="29" t="n"/>
      <c r="H11" s="36">
        <f>IFERROR(MONTH(C11),"")</f>
        <v/>
      </c>
      <c r="I11" s="44" t="n"/>
      <c r="J11" s="28" t="n"/>
      <c r="K11" s="28" t="n"/>
      <c r="L11" s="31" t="n"/>
      <c r="M11" s="44" t="n"/>
      <c r="N11" s="28" t="n"/>
      <c r="O11" s="28" t="n"/>
      <c r="P11" s="28" t="n"/>
      <c r="Q11" s="28" t="n"/>
    </row>
    <row r="12" ht="21.75" customHeight="1" s="70">
      <c r="B12" s="20">
        <f>IFERROR(ROW()-9,"")</f>
        <v/>
      </c>
      <c r="C12" s="20" t="n"/>
      <c r="D12" s="36">
        <f>IFERROR(WEEKNUM(C12,2),"")</f>
        <v/>
      </c>
      <c r="E12" s="20" t="n"/>
      <c r="F12" s="20" t="n"/>
      <c r="G12" s="21" t="n"/>
      <c r="H12" s="36">
        <f>IFERROR(MONTH(C12),"")</f>
        <v/>
      </c>
      <c r="I12" s="42" t="n"/>
      <c r="J12" s="20" t="n"/>
      <c r="K12" s="20" t="n"/>
      <c r="L12" s="22" t="n"/>
      <c r="M12" s="42" t="n"/>
      <c r="N12" s="20" t="n"/>
      <c r="O12" s="20" t="n"/>
      <c r="P12" s="20" t="n"/>
      <c r="Q12" s="20" t="n"/>
    </row>
    <row r="13" ht="21.75" customHeight="1" s="70">
      <c r="B13" s="28">
        <f>IFERROR(ROW()-9,"")</f>
        <v/>
      </c>
      <c r="C13" s="28" t="n"/>
      <c r="D13" s="36">
        <f>IFERROR(WEEKNUM(C13,2),"")</f>
        <v/>
      </c>
      <c r="E13" s="28" t="n"/>
      <c r="F13" s="28" t="n"/>
      <c r="G13" s="29" t="n"/>
      <c r="H13" s="36">
        <f>IFERROR(MONTH(C13),"")</f>
        <v/>
      </c>
      <c r="I13" s="44" t="n"/>
      <c r="J13" s="28" t="n"/>
      <c r="K13" s="28" t="n"/>
      <c r="L13" s="31" t="n"/>
      <c r="M13" s="44" t="n"/>
      <c r="N13" s="28" t="n"/>
      <c r="O13" s="28" t="n"/>
      <c r="P13" s="28" t="n"/>
      <c r="Q13" s="28" t="n"/>
    </row>
    <row r="14" ht="21.75" customHeight="1" s="70">
      <c r="B14" s="20">
        <f>IFERROR(ROW()-9,"")</f>
        <v/>
      </c>
      <c r="C14" s="20" t="n"/>
      <c r="D14" s="36">
        <f>IFERROR(WEEKNUM(C14,2),"")</f>
        <v/>
      </c>
      <c r="E14" s="20" t="n"/>
      <c r="F14" s="20" t="n"/>
      <c r="G14" s="21" t="n"/>
      <c r="H14" s="36">
        <f>IFERROR(MONTH(C14),"")</f>
        <v/>
      </c>
      <c r="I14" s="42" t="n"/>
      <c r="J14" s="20" t="n"/>
      <c r="K14" s="20" t="n"/>
      <c r="L14" s="22" t="n"/>
      <c r="M14" s="42" t="n"/>
      <c r="N14" s="20" t="n"/>
      <c r="O14" s="20" t="n"/>
      <c r="P14" s="20" t="n"/>
      <c r="Q14" s="20" t="n"/>
    </row>
    <row r="15" ht="21.75" customHeight="1" s="70">
      <c r="B15" s="28">
        <f>IFERROR(ROW()-9,"")</f>
        <v/>
      </c>
      <c r="C15" s="28" t="n"/>
      <c r="D15" s="36">
        <f>IFERROR(WEEKNUM(C15,2),"")</f>
        <v/>
      </c>
      <c r="E15" s="28" t="n"/>
      <c r="F15" s="28" t="n"/>
      <c r="G15" s="29" t="n"/>
      <c r="H15" s="36">
        <f>IFERROR(MONTH(C15),"")</f>
        <v/>
      </c>
      <c r="I15" s="44" t="n"/>
      <c r="J15" s="28" t="n"/>
      <c r="K15" s="28" t="n"/>
      <c r="L15" s="31" t="n"/>
      <c r="M15" s="44" t="n"/>
      <c r="N15" s="28" t="n"/>
      <c r="O15" s="28" t="n"/>
      <c r="P15" s="28" t="n"/>
      <c r="Q15" s="28" t="n"/>
    </row>
    <row r="16" ht="21.75" customHeight="1" s="70">
      <c r="B16" s="20">
        <f>IFERROR(ROW()-9,"")</f>
        <v/>
      </c>
      <c r="C16" s="20" t="n"/>
      <c r="D16" s="36">
        <f>IFERROR(WEEKNUM(C16,2),"")</f>
        <v/>
      </c>
      <c r="E16" s="20" t="n"/>
      <c r="F16" s="20" t="n"/>
      <c r="G16" s="21" t="n"/>
      <c r="H16" s="36">
        <f>IFERROR(MONTH(C16),"")</f>
        <v/>
      </c>
      <c r="I16" s="42" t="n"/>
      <c r="J16" s="20" t="n"/>
      <c r="K16" s="20" t="n"/>
      <c r="L16" s="22" t="n"/>
      <c r="M16" s="42" t="n"/>
      <c r="N16" s="20" t="n"/>
      <c r="O16" s="20" t="n"/>
      <c r="P16" s="20" t="n"/>
      <c r="Q16" s="20" t="n"/>
    </row>
    <row r="17" ht="21.75" customHeight="1" s="70">
      <c r="B17" s="28">
        <f>IFERROR(ROW()-9,"")</f>
        <v/>
      </c>
      <c r="C17" s="28" t="n"/>
      <c r="D17" s="36">
        <f>IFERROR(WEEKNUM(C17,2),"")</f>
        <v/>
      </c>
      <c r="E17" s="28" t="n"/>
      <c r="F17" s="28" t="n"/>
      <c r="G17" s="29" t="n"/>
      <c r="H17" s="36">
        <f>IFERROR(MONTH(C17),"")</f>
        <v/>
      </c>
      <c r="I17" s="44" t="n"/>
      <c r="J17" s="28" t="n"/>
      <c r="K17" s="28" t="n"/>
      <c r="L17" s="31" t="n"/>
      <c r="M17" s="44" t="n"/>
      <c r="N17" s="28" t="n"/>
      <c r="O17" s="28" t="n"/>
      <c r="P17" s="28" t="n"/>
      <c r="Q17" s="28" t="n"/>
    </row>
    <row r="18" ht="21.75" customHeight="1" s="70">
      <c r="B18" s="20">
        <f>IFERROR(ROW()-9,"")</f>
        <v/>
      </c>
      <c r="C18" s="20" t="n"/>
      <c r="D18" s="36">
        <f>IFERROR(WEEKNUM(C18,2),"")</f>
        <v/>
      </c>
      <c r="E18" s="20" t="n"/>
      <c r="F18" s="20" t="n"/>
      <c r="G18" s="21" t="n"/>
      <c r="H18" s="36">
        <f>IFERROR(MONTH(C18),"")</f>
        <v/>
      </c>
      <c r="I18" s="42" t="n"/>
      <c r="J18" s="20" t="n"/>
      <c r="K18" s="20" t="n"/>
      <c r="L18" s="22" t="n"/>
      <c r="M18" s="42" t="n"/>
      <c r="N18" s="20" t="n"/>
      <c r="O18" s="20" t="n"/>
      <c r="P18" s="20" t="n"/>
      <c r="Q18" s="20" t="n"/>
    </row>
    <row r="19" ht="21.75" customHeight="1" s="70">
      <c r="B19" s="28">
        <f>IFERROR(ROW()-9,"")</f>
        <v/>
      </c>
      <c r="C19" s="28" t="n"/>
      <c r="D19" s="36">
        <f>IFERROR(WEEKNUM(C19,2),"")</f>
        <v/>
      </c>
      <c r="E19" s="28" t="n"/>
      <c r="F19" s="28" t="n"/>
      <c r="G19" s="29" t="n"/>
      <c r="H19" s="36">
        <f>IFERROR(MONTH(C19),"")</f>
        <v/>
      </c>
      <c r="I19" s="44" t="n"/>
      <c r="J19" s="28" t="n"/>
      <c r="K19" s="28" t="n"/>
      <c r="L19" s="31" t="n"/>
      <c r="M19" s="44" t="n"/>
      <c r="N19" s="28" t="n"/>
      <c r="O19" s="28" t="n"/>
      <c r="P19" s="28" t="n"/>
      <c r="Q19" s="28" t="n"/>
    </row>
    <row r="20" ht="21.75" customHeight="1" s="70">
      <c r="B20" s="20">
        <f>IFERROR(ROW()-9,"")</f>
        <v/>
      </c>
      <c r="C20" s="20" t="n"/>
      <c r="D20" s="36">
        <f>IFERROR(WEEKNUM(C20,2),"")</f>
        <v/>
      </c>
      <c r="E20" s="20" t="n"/>
      <c r="F20" s="20" t="n"/>
      <c r="G20" s="21" t="n"/>
      <c r="H20" s="36">
        <f>IFERROR(MONTH(C20),"")</f>
        <v/>
      </c>
      <c r="I20" s="42" t="n"/>
      <c r="J20" s="20" t="n"/>
      <c r="K20" s="20" t="n"/>
      <c r="L20" s="22" t="n"/>
      <c r="M20" s="42" t="n"/>
      <c r="N20" s="20" t="n"/>
      <c r="O20" s="20" t="n"/>
      <c r="P20" s="20" t="n"/>
      <c r="Q20" s="20" t="n"/>
    </row>
    <row r="21" ht="21.75" customHeight="1" s="70">
      <c r="B21" s="28">
        <f>IFERROR(ROW()-9,"")</f>
        <v/>
      </c>
      <c r="C21" s="28" t="n"/>
      <c r="D21" s="36">
        <f>IFERROR(WEEKNUM(C21,2),"")</f>
        <v/>
      </c>
      <c r="E21" s="28" t="n"/>
      <c r="F21" s="28" t="n"/>
      <c r="G21" s="29" t="n"/>
      <c r="H21" s="36">
        <f>IFERROR(MONTH(C21),"")</f>
        <v/>
      </c>
      <c r="I21" s="44" t="n"/>
      <c r="J21" s="28" t="n"/>
      <c r="K21" s="28" t="n"/>
      <c r="L21" s="31" t="n"/>
      <c r="M21" s="44" t="n"/>
      <c r="N21" s="28" t="n"/>
      <c r="O21" s="28" t="n"/>
      <c r="P21" s="28" t="n"/>
      <c r="Q21" s="28" t="n"/>
    </row>
    <row r="22" ht="21.75" customHeight="1" s="70">
      <c r="B22" s="20">
        <f>IFERROR(ROW()-9,"")</f>
        <v/>
      </c>
      <c r="C22" s="20" t="n"/>
      <c r="D22" s="36">
        <f>IFERROR(WEEKNUM(C22,2),"")</f>
        <v/>
      </c>
      <c r="E22" s="20" t="n"/>
      <c r="F22" s="20" t="n"/>
      <c r="G22" s="21" t="n"/>
      <c r="H22" s="36">
        <f>IFERROR(MONTH(C22),"")</f>
        <v/>
      </c>
      <c r="I22" s="42" t="n"/>
      <c r="J22" s="20" t="n"/>
      <c r="K22" s="20" t="n"/>
      <c r="L22" s="22" t="n"/>
      <c r="M22" s="42" t="n"/>
      <c r="N22" s="20" t="n"/>
      <c r="O22" s="20" t="n"/>
      <c r="P22" s="20" t="n"/>
      <c r="Q22" s="20" t="n"/>
    </row>
    <row r="23" ht="21.75" customHeight="1" s="70">
      <c r="B23" s="28">
        <f>IFERROR(ROW()-9,"")</f>
        <v/>
      </c>
      <c r="C23" s="28" t="n"/>
      <c r="D23" s="36">
        <f>IFERROR(WEEKNUM(C23,2),"")</f>
        <v/>
      </c>
      <c r="E23" s="28" t="n"/>
      <c r="F23" s="28" t="n"/>
      <c r="G23" s="29" t="n"/>
      <c r="H23" s="36">
        <f>IFERROR(MONTH(C23),"")</f>
        <v/>
      </c>
      <c r="I23" s="44" t="n"/>
      <c r="J23" s="28" t="n"/>
      <c r="K23" s="28" t="n"/>
      <c r="L23" s="31" t="n"/>
      <c r="M23" s="44" t="n"/>
      <c r="N23" s="28" t="n"/>
      <c r="O23" s="28" t="n"/>
      <c r="P23" s="28" t="n"/>
      <c r="Q23" s="28" t="n"/>
    </row>
    <row r="24" ht="21.75" customHeight="1" s="70">
      <c r="B24" s="20">
        <f>IFERROR(ROW()-9,"")</f>
        <v/>
      </c>
      <c r="C24" s="20" t="n"/>
      <c r="D24" s="36">
        <f>IFERROR(WEEKNUM(C24,2),"")</f>
        <v/>
      </c>
      <c r="E24" s="20" t="n"/>
      <c r="F24" s="20" t="n"/>
      <c r="G24" s="21" t="n"/>
      <c r="H24" s="36">
        <f>IFERROR(MONTH(C24),"")</f>
        <v/>
      </c>
      <c r="I24" s="42" t="n"/>
      <c r="J24" s="20" t="n"/>
      <c r="K24" s="20" t="n"/>
      <c r="L24" s="22" t="n"/>
      <c r="M24" s="42" t="n"/>
      <c r="N24" s="20" t="n"/>
      <c r="O24" s="20" t="n"/>
      <c r="P24" s="20" t="n"/>
      <c r="Q24" s="20" t="n"/>
    </row>
    <row r="25" ht="21.75" customHeight="1" s="70">
      <c r="B25" s="28">
        <f>IFERROR(ROW()-9,"")</f>
        <v/>
      </c>
      <c r="C25" s="28" t="n"/>
      <c r="D25" s="36">
        <f>IFERROR(WEEKNUM(C25,2),"")</f>
        <v/>
      </c>
      <c r="E25" s="28" t="n"/>
      <c r="F25" s="28" t="n"/>
      <c r="G25" s="29" t="n"/>
      <c r="H25" s="36">
        <f>IFERROR(MONTH(C25),"")</f>
        <v/>
      </c>
      <c r="I25" s="44" t="n"/>
      <c r="J25" s="28" t="n"/>
      <c r="K25" s="28" t="n"/>
      <c r="L25" s="31" t="n"/>
      <c r="M25" s="44" t="n"/>
      <c r="N25" s="28" t="n"/>
      <c r="O25" s="28" t="n"/>
      <c r="P25" s="28" t="n"/>
      <c r="Q25" s="28" t="n"/>
    </row>
    <row r="26" ht="21.75" customHeight="1" s="70">
      <c r="B26" s="20">
        <f>IFERROR(ROW()-9,"")</f>
        <v/>
      </c>
      <c r="C26" s="20" t="n"/>
      <c r="D26" s="36">
        <f>IFERROR(WEEKNUM(C26,2),"")</f>
        <v/>
      </c>
      <c r="E26" s="20" t="n"/>
      <c r="F26" s="20" t="n"/>
      <c r="G26" s="21" t="n"/>
      <c r="H26" s="36">
        <f>IFERROR(MONTH(C26),"")</f>
        <v/>
      </c>
      <c r="I26" s="42" t="n"/>
      <c r="J26" s="20" t="n"/>
      <c r="K26" s="20" t="n"/>
      <c r="L26" s="22" t="n"/>
      <c r="M26" s="42" t="n"/>
      <c r="N26" s="20" t="n"/>
      <c r="O26" s="20" t="n"/>
      <c r="P26" s="20" t="n"/>
      <c r="Q26" s="20" t="n"/>
    </row>
    <row r="27" ht="21.75" customHeight="1" s="70">
      <c r="B27" s="28">
        <f>IFERROR(ROW()-9,"")</f>
        <v/>
      </c>
      <c r="C27" s="28" t="n"/>
      <c r="D27" s="36">
        <f>IFERROR(WEEKNUM(C27,2),"")</f>
        <v/>
      </c>
      <c r="E27" s="28" t="n"/>
      <c r="F27" s="28" t="n"/>
      <c r="G27" s="29" t="n"/>
      <c r="H27" s="36">
        <f>IFERROR(MONTH(C27),"")</f>
        <v/>
      </c>
      <c r="I27" s="44" t="n"/>
      <c r="J27" s="28" t="n"/>
      <c r="K27" s="28" t="n"/>
      <c r="L27" s="31" t="n"/>
      <c r="M27" s="44" t="n"/>
      <c r="N27" s="28" t="n"/>
      <c r="O27" s="28" t="n"/>
      <c r="P27" s="28" t="n"/>
      <c r="Q27" s="28" t="n"/>
    </row>
    <row r="28" ht="21.75" customHeight="1" s="70">
      <c r="B28" s="20">
        <f>IFERROR(ROW()-9,"")</f>
        <v/>
      </c>
      <c r="C28" s="20" t="n"/>
      <c r="D28" s="36">
        <f>IFERROR(WEEKNUM(C28,2),"")</f>
        <v/>
      </c>
      <c r="E28" s="20" t="n"/>
      <c r="F28" s="20" t="n"/>
      <c r="G28" s="21" t="n"/>
      <c r="H28" s="36">
        <f>IFERROR(MONTH(C28),"")</f>
        <v/>
      </c>
      <c r="I28" s="42" t="n"/>
      <c r="J28" s="20" t="n"/>
      <c r="K28" s="20" t="n"/>
      <c r="L28" s="22" t="n"/>
      <c r="M28" s="42" t="n"/>
      <c r="N28" s="20" t="n"/>
      <c r="O28" s="20" t="n"/>
      <c r="P28" s="20" t="n"/>
      <c r="Q28" s="20" t="n"/>
    </row>
    <row r="29" ht="21.75" customHeight="1" s="70">
      <c r="B29" s="28">
        <f>IFERROR(ROW()-9,"")</f>
        <v/>
      </c>
      <c r="C29" s="28" t="n"/>
      <c r="D29" s="36">
        <f>IFERROR(WEEKNUM(C29,2),"")</f>
        <v/>
      </c>
      <c r="E29" s="28" t="n"/>
      <c r="F29" s="28" t="n"/>
      <c r="G29" s="29" t="n"/>
      <c r="H29" s="36">
        <f>IFERROR(MONTH(C29),"")</f>
        <v/>
      </c>
      <c r="I29" s="44" t="n"/>
      <c r="J29" s="28" t="n"/>
      <c r="K29" s="28" t="n"/>
      <c r="L29" s="31" t="n"/>
      <c r="M29" s="44" t="n"/>
      <c r="N29" s="28" t="n"/>
      <c r="O29" s="28" t="n"/>
      <c r="P29" s="28" t="n"/>
      <c r="Q29" s="28" t="n"/>
    </row>
    <row r="30" ht="21.75" customHeight="1" s="70">
      <c r="B30" s="20">
        <f>IFERROR(ROW()-9,"")</f>
        <v/>
      </c>
      <c r="C30" s="20" t="n"/>
      <c r="D30" s="36">
        <f>IFERROR(WEEKNUM(C30,2),"")</f>
        <v/>
      </c>
      <c r="E30" s="20" t="n"/>
      <c r="F30" s="20" t="n"/>
      <c r="G30" s="21" t="n"/>
      <c r="H30" s="36">
        <f>IFERROR(MONTH(C30),"")</f>
        <v/>
      </c>
      <c r="I30" s="42" t="n"/>
      <c r="J30" s="20" t="n"/>
      <c r="K30" s="20" t="n"/>
      <c r="L30" s="22" t="n"/>
      <c r="M30" s="42" t="n"/>
      <c r="N30" s="20" t="n"/>
      <c r="O30" s="20" t="n"/>
      <c r="P30" s="20" t="n"/>
      <c r="Q30" s="20" t="n"/>
    </row>
    <row r="31" ht="21.75" customHeight="1" s="70">
      <c r="B31" s="28">
        <f>IFERROR(ROW()-9,"")</f>
        <v/>
      </c>
      <c r="C31" s="28" t="n"/>
      <c r="D31" s="36">
        <f>IFERROR(WEEKNUM(C31,2),"")</f>
        <v/>
      </c>
      <c r="E31" s="28" t="n"/>
      <c r="F31" s="28" t="n"/>
      <c r="G31" s="29" t="n"/>
      <c r="H31" s="36">
        <f>IFERROR(MONTH(C31),"")</f>
        <v/>
      </c>
      <c r="I31" s="44" t="n"/>
      <c r="J31" s="28" t="n"/>
      <c r="K31" s="28" t="n"/>
      <c r="L31" s="31" t="n"/>
      <c r="M31" s="44" t="n"/>
      <c r="N31" s="28" t="n"/>
      <c r="O31" s="28" t="n"/>
      <c r="P31" s="28" t="n"/>
      <c r="Q31" s="28" t="n"/>
    </row>
    <row r="32" ht="21.75" customHeight="1" s="70">
      <c r="B32" s="20">
        <f>IFERROR(ROW()-9,"")</f>
        <v/>
      </c>
      <c r="C32" s="20" t="n"/>
      <c r="D32" s="36">
        <f>IFERROR(WEEKNUM(C32,2),"")</f>
        <v/>
      </c>
      <c r="E32" s="20" t="n"/>
      <c r="F32" s="20" t="n"/>
      <c r="G32" s="21" t="n"/>
      <c r="H32" s="36">
        <f>IFERROR(MONTH(C32),"")</f>
        <v/>
      </c>
      <c r="I32" s="42" t="n"/>
      <c r="J32" s="20" t="n"/>
      <c r="K32" s="20" t="n"/>
      <c r="L32" s="22" t="n"/>
      <c r="M32" s="42" t="n"/>
      <c r="N32" s="20" t="n"/>
      <c r="O32" s="20" t="n"/>
      <c r="P32" s="20" t="n"/>
      <c r="Q32" s="20" t="n"/>
    </row>
    <row r="33" ht="21.75" customHeight="1" s="70">
      <c r="B33" s="28">
        <f>IFERROR(ROW()-9,"")</f>
        <v/>
      </c>
      <c r="C33" s="28" t="n"/>
      <c r="D33" s="36">
        <f>IFERROR(WEEKNUM(C33,2),"")</f>
        <v/>
      </c>
      <c r="E33" s="28" t="n"/>
      <c r="F33" s="28" t="n"/>
      <c r="G33" s="29" t="n"/>
      <c r="H33" s="36">
        <f>IFERROR(MONTH(C33),"")</f>
        <v/>
      </c>
      <c r="I33" s="44" t="n"/>
      <c r="J33" s="28" t="n"/>
      <c r="K33" s="28" t="n"/>
      <c r="L33" s="31" t="n"/>
      <c r="M33" s="44" t="n"/>
      <c r="N33" s="28" t="n"/>
      <c r="O33" s="28" t="n"/>
      <c r="P33" s="28" t="n"/>
      <c r="Q33" s="28" t="n"/>
    </row>
    <row r="34" ht="21.75" customHeight="1" s="70">
      <c r="B34" s="20">
        <f>IFERROR(ROW()-9,"")</f>
        <v/>
      </c>
      <c r="C34" s="20" t="n"/>
      <c r="D34" s="36">
        <f>IFERROR(WEEKNUM(C34,2),"")</f>
        <v/>
      </c>
      <c r="E34" s="20" t="n"/>
      <c r="F34" s="20" t="n"/>
      <c r="G34" s="21" t="n"/>
      <c r="H34" s="36">
        <f>IFERROR(MONTH(C34),"")</f>
        <v/>
      </c>
      <c r="I34" s="42" t="n"/>
      <c r="J34" s="20" t="n"/>
      <c r="K34" s="20" t="n"/>
      <c r="L34" s="22" t="n"/>
      <c r="M34" s="42" t="n"/>
      <c r="N34" s="20" t="n"/>
      <c r="O34" s="20" t="n"/>
      <c r="P34" s="20" t="n"/>
      <c r="Q34" s="20" t="n"/>
    </row>
    <row r="35" ht="21.75" customHeight="1" s="70">
      <c r="B35" s="28">
        <f>IFERROR(ROW()-9,"")</f>
        <v/>
      </c>
      <c r="C35" s="28" t="n"/>
      <c r="D35" s="36">
        <f>IFERROR(WEEKNUM(C35,2),"")</f>
        <v/>
      </c>
      <c r="E35" s="28" t="n"/>
      <c r="F35" s="28" t="n"/>
      <c r="G35" s="29" t="n"/>
      <c r="H35" s="36">
        <f>IFERROR(MONTH(C35),"")</f>
        <v/>
      </c>
      <c r="I35" s="44" t="n"/>
      <c r="J35" s="28" t="n"/>
      <c r="K35" s="28" t="n"/>
      <c r="L35" s="31" t="n"/>
      <c r="M35" s="44" t="n"/>
      <c r="N35" s="28" t="n"/>
      <c r="O35" s="28" t="n"/>
      <c r="P35" s="28" t="n"/>
      <c r="Q35" s="28" t="n"/>
    </row>
    <row r="36" ht="21.75" customHeight="1" s="70">
      <c r="B36" s="20">
        <f>IFERROR(ROW()-9,"")</f>
        <v/>
      </c>
      <c r="C36" s="20" t="n"/>
      <c r="D36" s="36">
        <f>IFERROR(WEEKNUM(C36,2),"")</f>
        <v/>
      </c>
      <c r="E36" s="20" t="n"/>
      <c r="F36" s="20" t="n"/>
      <c r="G36" s="21" t="n"/>
      <c r="H36" s="36">
        <f>IFERROR(MONTH(C36),"")</f>
        <v/>
      </c>
      <c r="I36" s="42" t="n"/>
      <c r="J36" s="20" t="n"/>
      <c r="K36" s="20" t="n"/>
      <c r="L36" s="22" t="n"/>
      <c r="M36" s="42" t="n"/>
      <c r="N36" s="20" t="n"/>
      <c r="O36" s="20" t="n"/>
      <c r="P36" s="20" t="n"/>
      <c r="Q36" s="20" t="n"/>
    </row>
    <row r="37" ht="21.75" customHeight="1" s="70">
      <c r="B37" s="28">
        <f>IFERROR(ROW()-9,"")</f>
        <v/>
      </c>
      <c r="C37" s="28" t="n"/>
      <c r="D37" s="36">
        <f>IFERROR(WEEKNUM(C37,2),"")</f>
        <v/>
      </c>
      <c r="E37" s="28" t="n"/>
      <c r="F37" s="28" t="n"/>
      <c r="G37" s="29" t="n"/>
      <c r="H37" s="36">
        <f>IFERROR(MONTH(C37),"")</f>
        <v/>
      </c>
      <c r="I37" s="44" t="n"/>
      <c r="J37" s="28" t="n"/>
      <c r="K37" s="28" t="n"/>
      <c r="L37" s="31" t="n"/>
      <c r="M37" s="44" t="n"/>
      <c r="N37" s="28" t="n"/>
      <c r="O37" s="28" t="n"/>
      <c r="P37" s="28" t="n"/>
      <c r="Q37" s="28" t="n"/>
    </row>
    <row r="38" ht="21.75" customHeight="1" s="70">
      <c r="B38" s="20">
        <f>IFERROR(ROW()-9,"")</f>
        <v/>
      </c>
      <c r="C38" s="20" t="n"/>
      <c r="D38" s="36">
        <f>IFERROR(WEEKNUM(C38,2),"")</f>
        <v/>
      </c>
      <c r="E38" s="20" t="n"/>
      <c r="F38" s="20" t="n"/>
      <c r="G38" s="21" t="n"/>
      <c r="H38" s="36">
        <f>IFERROR(MONTH(C38),"")</f>
        <v/>
      </c>
      <c r="I38" s="42" t="n"/>
      <c r="J38" s="20" t="n"/>
      <c r="K38" s="20" t="n"/>
      <c r="L38" s="22" t="n"/>
      <c r="M38" s="42" t="n"/>
      <c r="N38" s="20" t="n"/>
      <c r="O38" s="20" t="n"/>
      <c r="P38" s="20" t="n"/>
      <c r="Q38" s="20" t="n"/>
    </row>
    <row r="39" ht="21.75" customHeight="1" s="70">
      <c r="B39" s="28">
        <f>IFERROR(ROW()-9,"")</f>
        <v/>
      </c>
      <c r="C39" s="28" t="n"/>
      <c r="D39" s="36">
        <f>IFERROR(WEEKNUM(C39,2),"")</f>
        <v/>
      </c>
      <c r="E39" s="28" t="n"/>
      <c r="F39" s="28" t="n"/>
      <c r="G39" s="29" t="n"/>
      <c r="H39" s="36">
        <f>IFERROR(MONTH(C39),"")</f>
        <v/>
      </c>
      <c r="I39" s="44" t="n"/>
      <c r="J39" s="28" t="n"/>
      <c r="K39" s="28" t="n"/>
      <c r="L39" s="31" t="n"/>
      <c r="M39" s="44" t="n"/>
      <c r="N39" s="28" t="n"/>
      <c r="O39" s="28" t="n"/>
      <c r="P39" s="28" t="n"/>
      <c r="Q39" s="28" t="n"/>
    </row>
    <row r="40" ht="21.75" customHeight="1" s="70">
      <c r="B40" s="20">
        <f>IFERROR(ROW()-9,"")</f>
        <v/>
      </c>
      <c r="C40" s="20" t="n"/>
      <c r="D40" s="36">
        <f>IFERROR(WEEKNUM(C40,2),"")</f>
        <v/>
      </c>
      <c r="E40" s="20" t="n"/>
      <c r="F40" s="20" t="n"/>
      <c r="G40" s="21" t="n"/>
      <c r="H40" s="36">
        <f>IFERROR(MONTH(C40),"")</f>
        <v/>
      </c>
      <c r="I40" s="42" t="n"/>
      <c r="J40" s="20" t="n"/>
      <c r="K40" s="20" t="n"/>
      <c r="L40" s="22" t="n"/>
      <c r="M40" s="42" t="n"/>
      <c r="N40" s="20" t="n"/>
      <c r="O40" s="20" t="n"/>
      <c r="P40" s="20" t="n"/>
      <c r="Q40" s="20" t="n"/>
    </row>
    <row r="41" ht="21.75" customHeight="1" s="70">
      <c r="B41" s="28">
        <f>IFERROR(ROW()-9,"")</f>
        <v/>
      </c>
      <c r="C41" s="28" t="n"/>
      <c r="D41" s="36">
        <f>IFERROR(WEEKNUM(C41,2),"")</f>
        <v/>
      </c>
      <c r="E41" s="28" t="n"/>
      <c r="F41" s="28" t="n"/>
      <c r="G41" s="29" t="n"/>
      <c r="H41" s="36">
        <f>IFERROR(MONTH(C41),"")</f>
        <v/>
      </c>
      <c r="I41" s="44" t="n"/>
      <c r="J41" s="28" t="n"/>
      <c r="K41" s="28" t="n"/>
      <c r="L41" s="31" t="n"/>
      <c r="M41" s="44" t="n"/>
      <c r="N41" s="28" t="n"/>
      <c r="O41" s="28" t="n"/>
      <c r="P41" s="28" t="n"/>
      <c r="Q41" s="28" t="n"/>
    </row>
    <row r="42" ht="21.75" customHeight="1" s="70">
      <c r="B42" s="20">
        <f>IFERROR(ROW()-9,"")</f>
        <v/>
      </c>
      <c r="C42" s="20" t="n"/>
      <c r="D42" s="36">
        <f>IFERROR(WEEKNUM(C42,2),"")</f>
        <v/>
      </c>
      <c r="E42" s="20" t="n"/>
      <c r="F42" s="20" t="n"/>
      <c r="G42" s="21" t="n"/>
      <c r="H42" s="36">
        <f>IFERROR(MONTH(C42),"")</f>
        <v/>
      </c>
      <c r="I42" s="42" t="n"/>
      <c r="J42" s="20" t="n"/>
      <c r="K42" s="20" t="n"/>
      <c r="L42" s="22" t="n"/>
      <c r="M42" s="42" t="n"/>
      <c r="N42" s="20" t="n"/>
      <c r="O42" s="20" t="n"/>
      <c r="P42" s="20" t="n"/>
      <c r="Q42" s="20" t="n"/>
    </row>
    <row r="43" ht="21.75" customHeight="1" s="70">
      <c r="B43" s="28">
        <f>IFERROR(ROW()-9,"")</f>
        <v/>
      </c>
      <c r="C43" s="28" t="n"/>
      <c r="D43" s="36">
        <f>IFERROR(WEEKNUM(C43,2),"")</f>
        <v/>
      </c>
      <c r="E43" s="28" t="n"/>
      <c r="F43" s="28" t="n"/>
      <c r="G43" s="29" t="n"/>
      <c r="H43" s="36">
        <f>IFERROR(MONTH(C43),"")</f>
        <v/>
      </c>
      <c r="I43" s="44" t="n"/>
      <c r="J43" s="28" t="n"/>
      <c r="K43" s="28" t="n"/>
      <c r="L43" s="31" t="n"/>
      <c r="M43" s="44" t="n"/>
      <c r="N43" s="28" t="n"/>
      <c r="O43" s="28" t="n"/>
      <c r="P43" s="28" t="n"/>
      <c r="Q43" s="28" t="n"/>
    </row>
    <row r="44" ht="21.75" customHeight="1" s="70">
      <c r="B44" s="20">
        <f>IFERROR(ROW()-9,"")</f>
        <v/>
      </c>
      <c r="C44" s="20" t="n"/>
      <c r="D44" s="36">
        <f>IFERROR(WEEKNUM(C44,2),"")</f>
        <v/>
      </c>
      <c r="E44" s="20" t="n"/>
      <c r="F44" s="20" t="n"/>
      <c r="G44" s="21" t="n"/>
      <c r="H44" s="36">
        <f>IFERROR(MONTH(C44),"")</f>
        <v/>
      </c>
      <c r="I44" s="42" t="n"/>
      <c r="J44" s="20" t="n"/>
      <c r="K44" s="20" t="n"/>
      <c r="L44" s="22" t="n"/>
      <c r="M44" s="42" t="n"/>
      <c r="N44" s="20" t="n"/>
      <c r="O44" s="20" t="n"/>
      <c r="P44" s="20" t="n"/>
      <c r="Q44" s="20" t="n"/>
    </row>
    <row r="45" ht="21.75" customHeight="1" s="70">
      <c r="B45" s="28">
        <f>IFERROR(ROW()-9,"")</f>
        <v/>
      </c>
      <c r="C45" s="28" t="n"/>
      <c r="D45" s="36">
        <f>IFERROR(WEEKNUM(C45,2),"")</f>
        <v/>
      </c>
      <c r="E45" s="28" t="n"/>
      <c r="F45" s="28" t="n"/>
      <c r="G45" s="29" t="n"/>
      <c r="H45" s="36">
        <f>IFERROR(MONTH(C45),"")</f>
        <v/>
      </c>
      <c r="I45" s="44" t="n"/>
      <c r="J45" s="28" t="n"/>
      <c r="K45" s="28" t="n"/>
      <c r="L45" s="31" t="n"/>
      <c r="M45" s="44" t="n"/>
      <c r="N45" s="28" t="n"/>
      <c r="O45" s="28" t="n"/>
      <c r="P45" s="28" t="n"/>
      <c r="Q45" s="28" t="n"/>
    </row>
    <row r="46" ht="21.75" customHeight="1" s="70">
      <c r="B46" s="20">
        <f>IFERROR(ROW()-9,"")</f>
        <v/>
      </c>
      <c r="C46" s="20" t="n"/>
      <c r="D46" s="36">
        <f>IFERROR(WEEKNUM(C46,2),"")</f>
        <v/>
      </c>
      <c r="E46" s="20" t="n"/>
      <c r="F46" s="20" t="n"/>
      <c r="G46" s="21" t="n"/>
      <c r="H46" s="36">
        <f>IFERROR(MONTH(C46),"")</f>
        <v/>
      </c>
      <c r="I46" s="42" t="n"/>
      <c r="J46" s="20" t="n"/>
      <c r="K46" s="20" t="n"/>
      <c r="L46" s="22" t="n"/>
      <c r="M46" s="42" t="n"/>
      <c r="N46" s="20" t="n"/>
      <c r="O46" s="20" t="n"/>
      <c r="P46" s="20" t="n"/>
      <c r="Q46" s="20" t="n"/>
    </row>
    <row r="47" ht="21.75" customHeight="1" s="70">
      <c r="B47" s="28">
        <f>IFERROR(ROW()-9,"")</f>
        <v/>
      </c>
      <c r="C47" s="28" t="n"/>
      <c r="D47" s="36">
        <f>IFERROR(WEEKNUM(C47,2),"")</f>
        <v/>
      </c>
      <c r="E47" s="28" t="n"/>
      <c r="F47" s="28" t="n"/>
      <c r="G47" s="29" t="n"/>
      <c r="H47" s="36">
        <f>IFERROR(MONTH(C47),"")</f>
        <v/>
      </c>
      <c r="I47" s="44" t="n"/>
      <c r="J47" s="28" t="n"/>
      <c r="K47" s="28" t="n"/>
      <c r="L47" s="31" t="n"/>
      <c r="M47" s="44" t="n"/>
      <c r="N47" s="28" t="n"/>
      <c r="O47" s="28" t="n"/>
      <c r="P47" s="28" t="n"/>
      <c r="Q47" s="28" t="n"/>
    </row>
    <row r="48" ht="21.75" customHeight="1" s="70">
      <c r="B48" s="20">
        <f>IFERROR(ROW()-9,"")</f>
        <v/>
      </c>
      <c r="C48" s="20" t="n"/>
      <c r="D48" s="36">
        <f>IFERROR(WEEKNUM(C48,2),"")</f>
        <v/>
      </c>
      <c r="E48" s="20" t="n"/>
      <c r="F48" s="20" t="n"/>
      <c r="G48" s="21" t="n"/>
      <c r="H48" s="36">
        <f>IFERROR(MONTH(C48),"")</f>
        <v/>
      </c>
      <c r="I48" s="42" t="n"/>
      <c r="J48" s="20" t="n"/>
      <c r="K48" s="20" t="n"/>
      <c r="L48" s="22" t="n"/>
      <c r="M48" s="42" t="n"/>
      <c r="N48" s="20" t="n"/>
      <c r="O48" s="20" t="n"/>
      <c r="P48" s="20" t="n"/>
      <c r="Q48" s="20" t="n"/>
    </row>
    <row r="49" ht="21.75" customHeight="1" s="70">
      <c r="B49" s="28">
        <f>IFERROR(ROW()-9,"")</f>
        <v/>
      </c>
      <c r="C49" s="28" t="n"/>
      <c r="D49" s="36">
        <f>IFERROR(WEEKNUM(C49,2),"")</f>
        <v/>
      </c>
      <c r="E49" s="28" t="n"/>
      <c r="F49" s="28" t="n"/>
      <c r="G49" s="29" t="n"/>
      <c r="H49" s="36">
        <f>IFERROR(MONTH(C49),"")</f>
        <v/>
      </c>
      <c r="I49" s="44" t="n"/>
      <c r="J49" s="28" t="n"/>
      <c r="K49" s="28" t="n"/>
      <c r="L49" s="31" t="n"/>
      <c r="M49" s="44" t="n"/>
      <c r="N49" s="28" t="n"/>
      <c r="O49" s="28" t="n"/>
      <c r="P49" s="28" t="n"/>
      <c r="Q49" s="28" t="n"/>
    </row>
    <row r="50" ht="21.75" customHeight="1" s="70">
      <c r="B50" s="20">
        <f>IFERROR(ROW()-9,"")</f>
        <v/>
      </c>
      <c r="C50" s="20" t="n"/>
      <c r="D50" s="36">
        <f>IFERROR(WEEKNUM(C50,2),"")</f>
        <v/>
      </c>
      <c r="E50" s="20" t="n"/>
      <c r="F50" s="20" t="n"/>
      <c r="G50" s="21" t="n"/>
      <c r="H50" s="36">
        <f>IFERROR(MONTH(C50),"")</f>
        <v/>
      </c>
      <c r="I50" s="42" t="n"/>
      <c r="J50" s="20" t="n"/>
      <c r="K50" s="20" t="n"/>
      <c r="L50" s="22" t="n"/>
      <c r="M50" s="42" t="n"/>
      <c r="N50" s="20" t="n"/>
      <c r="O50" s="20" t="n"/>
      <c r="P50" s="20" t="n"/>
      <c r="Q50" s="20" t="n"/>
    </row>
    <row r="51" ht="21.75" customHeight="1" s="70">
      <c r="B51" s="28">
        <f>IFERROR(ROW()-9,"")</f>
        <v/>
      </c>
      <c r="C51" s="28" t="n"/>
      <c r="D51" s="36">
        <f>IFERROR(WEEKNUM(C51,2),"")</f>
        <v/>
      </c>
      <c r="E51" s="28" t="n"/>
      <c r="F51" s="28" t="n"/>
      <c r="G51" s="29" t="n"/>
      <c r="H51" s="36">
        <f>IFERROR(MONTH(C51),"")</f>
        <v/>
      </c>
      <c r="I51" s="44" t="n"/>
      <c r="J51" s="28" t="n"/>
      <c r="K51" s="28" t="n"/>
      <c r="L51" s="31" t="n"/>
      <c r="M51" s="44" t="n"/>
      <c r="N51" s="28" t="n"/>
      <c r="O51" s="28" t="n"/>
      <c r="P51" s="28" t="n"/>
      <c r="Q51" s="28" t="n"/>
    </row>
    <row r="52" ht="21.75" customHeight="1" s="70">
      <c r="B52" s="20">
        <f>IFERROR(ROW()-9,"")</f>
        <v/>
      </c>
      <c r="C52" s="20" t="n"/>
      <c r="D52" s="36">
        <f>IFERROR(WEEKNUM(C52,2),"")</f>
        <v/>
      </c>
      <c r="E52" s="20" t="n"/>
      <c r="F52" s="20" t="n"/>
      <c r="G52" s="21" t="n"/>
      <c r="H52" s="36">
        <f>IFERROR(MONTH(C52),"")</f>
        <v/>
      </c>
      <c r="I52" s="42" t="n"/>
      <c r="J52" s="20" t="n"/>
      <c r="K52" s="20" t="n"/>
      <c r="L52" s="22" t="n"/>
      <c r="M52" s="42" t="n"/>
      <c r="N52" s="20" t="n"/>
      <c r="O52" s="20" t="n"/>
      <c r="P52" s="20" t="n"/>
      <c r="Q52" s="20" t="n"/>
    </row>
    <row r="53" ht="21.75" customHeight="1" s="70">
      <c r="B53" s="28">
        <f>IFERROR(ROW()-9,"")</f>
        <v/>
      </c>
      <c r="C53" s="28" t="n"/>
      <c r="D53" s="36">
        <f>IFERROR(WEEKNUM(C53,2),"")</f>
        <v/>
      </c>
      <c r="E53" s="28" t="n"/>
      <c r="F53" s="28" t="n"/>
      <c r="G53" s="29" t="n"/>
      <c r="H53" s="36">
        <f>IFERROR(MONTH(C53),"")</f>
        <v/>
      </c>
      <c r="I53" s="44" t="n"/>
      <c r="J53" s="28" t="n"/>
      <c r="K53" s="28" t="n"/>
      <c r="L53" s="31" t="n"/>
      <c r="M53" s="44" t="n"/>
      <c r="N53" s="28" t="n"/>
      <c r="O53" s="28" t="n"/>
      <c r="P53" s="28" t="n"/>
      <c r="Q53" s="28" t="n"/>
    </row>
    <row r="54" ht="21.75" customHeight="1" s="70">
      <c r="B54" s="20">
        <f>IFERROR(ROW()-9,"")</f>
        <v/>
      </c>
      <c r="C54" s="20" t="n"/>
      <c r="D54" s="36">
        <f>IFERROR(WEEKNUM(C54,2),"")</f>
        <v/>
      </c>
      <c r="E54" s="20" t="n"/>
      <c r="F54" s="20" t="n"/>
      <c r="G54" s="21" t="n"/>
      <c r="H54" s="36">
        <f>IFERROR(MONTH(C54),"")</f>
        <v/>
      </c>
      <c r="I54" s="42" t="n"/>
      <c r="J54" s="20" t="n"/>
      <c r="K54" s="20" t="n"/>
      <c r="L54" s="22" t="n"/>
      <c r="M54" s="42" t="n"/>
      <c r="N54" s="20" t="n"/>
      <c r="O54" s="20" t="n"/>
      <c r="P54" s="20" t="n"/>
      <c r="Q54" s="20" t="n"/>
    </row>
    <row r="55" ht="21.75" customHeight="1" s="70">
      <c r="B55" s="28">
        <f>IFERROR(ROW()-9,"")</f>
        <v/>
      </c>
      <c r="C55" s="28" t="n"/>
      <c r="D55" s="36">
        <f>IFERROR(WEEKNUM(C55,2),"")</f>
        <v/>
      </c>
      <c r="E55" s="28" t="n"/>
      <c r="F55" s="28" t="n"/>
      <c r="G55" s="29" t="n"/>
      <c r="H55" s="36">
        <f>IFERROR(MONTH(C55),"")</f>
        <v/>
      </c>
      <c r="I55" s="44" t="n"/>
      <c r="J55" s="28" t="n"/>
      <c r="K55" s="28" t="n"/>
      <c r="L55" s="31" t="n"/>
      <c r="M55" s="44" t="n"/>
      <c r="N55" s="28" t="n"/>
      <c r="O55" s="28" t="n"/>
      <c r="P55" s="28" t="n"/>
      <c r="Q55" s="28" t="n"/>
    </row>
    <row r="56" ht="21.75" customHeight="1" s="70">
      <c r="B56" s="20">
        <f>IFERROR(ROW()-9,"")</f>
        <v/>
      </c>
      <c r="C56" s="20" t="n"/>
      <c r="D56" s="36">
        <f>IFERROR(WEEKNUM(C56,2),"")</f>
        <v/>
      </c>
      <c r="E56" s="20" t="n"/>
      <c r="F56" s="20" t="n"/>
      <c r="G56" s="21" t="n"/>
      <c r="H56" s="36">
        <f>IFERROR(MONTH(C56),"")</f>
        <v/>
      </c>
      <c r="I56" s="42" t="n"/>
      <c r="J56" s="20" t="n"/>
      <c r="K56" s="20" t="n"/>
      <c r="L56" s="22" t="n"/>
      <c r="M56" s="42" t="n"/>
      <c r="N56" s="20" t="n"/>
      <c r="O56" s="20" t="n"/>
      <c r="P56" s="20" t="n"/>
      <c r="Q56" s="20" t="n"/>
    </row>
    <row r="57" ht="21.75" customHeight="1" s="70">
      <c r="B57" s="28">
        <f>IFERROR(ROW()-9,"")</f>
        <v/>
      </c>
      <c r="C57" s="28" t="n"/>
      <c r="D57" s="36">
        <f>IFERROR(WEEKNUM(C57,2),"")</f>
        <v/>
      </c>
      <c r="E57" s="28" t="n"/>
      <c r="F57" s="28" t="n"/>
      <c r="G57" s="29" t="n"/>
      <c r="H57" s="36">
        <f>IFERROR(MONTH(C57),"")</f>
        <v/>
      </c>
      <c r="I57" s="44" t="n"/>
      <c r="J57" s="28" t="n"/>
      <c r="K57" s="28" t="n"/>
      <c r="L57" s="31" t="n"/>
      <c r="M57" s="44" t="n"/>
      <c r="N57" s="28" t="n"/>
      <c r="O57" s="28" t="n"/>
      <c r="P57" s="28" t="n"/>
      <c r="Q57" s="28" t="n"/>
    </row>
    <row r="58" ht="21.75" customHeight="1" s="70">
      <c r="B58" s="20">
        <f>IFERROR(ROW()-9,"")</f>
        <v/>
      </c>
      <c r="C58" s="20" t="n"/>
      <c r="D58" s="36">
        <f>IFERROR(WEEKNUM(C58,2),"")</f>
        <v/>
      </c>
      <c r="E58" s="20" t="n"/>
      <c r="F58" s="20" t="n"/>
      <c r="G58" s="21" t="n"/>
      <c r="H58" s="36">
        <f>IFERROR(MONTH(C58),"")</f>
        <v/>
      </c>
      <c r="I58" s="42" t="n"/>
      <c r="J58" s="20" t="n"/>
      <c r="K58" s="20" t="n"/>
      <c r="L58" s="22" t="n"/>
      <c r="M58" s="42" t="n"/>
      <c r="N58" s="20" t="n"/>
      <c r="O58" s="20" t="n"/>
      <c r="P58" s="20" t="n"/>
      <c r="Q58" s="20" t="n"/>
    </row>
    <row r="59" ht="21.75" customHeight="1" s="70">
      <c r="B59" s="28">
        <f>IFERROR(ROW()-9,"")</f>
        <v/>
      </c>
      <c r="C59" s="28" t="n"/>
      <c r="D59" s="36">
        <f>IFERROR(WEEKNUM(C59,2),"")</f>
        <v/>
      </c>
      <c r="E59" s="28" t="n"/>
      <c r="F59" s="28" t="n"/>
      <c r="G59" s="29" t="n"/>
      <c r="H59" s="36">
        <f>IFERROR(MONTH(C59),"")</f>
        <v/>
      </c>
      <c r="I59" s="44" t="n"/>
      <c r="J59" s="28" t="n"/>
      <c r="K59" s="28" t="n"/>
      <c r="L59" s="31" t="n"/>
      <c r="M59" s="44" t="n"/>
      <c r="N59" s="28" t="n"/>
      <c r="O59" s="28" t="n"/>
      <c r="P59" s="28" t="n"/>
      <c r="Q59" s="28" t="n"/>
    </row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2">
    <mergeCell ref="B2:Q2"/>
    <mergeCell ref="B3:Q3"/>
  </mergeCells>
  <conditionalFormatting sqref="J5:J59">
    <cfRule type="cellIs" priority="1" operator="greaterThan" dxfId="0">
      <formula>154</formula>
    </cfRule>
    <cfRule type="cellIs" priority="2" operator="between" dxfId="1">
      <formula>140</formula>
      <formula>154</formula>
    </cfRule>
    <cfRule type="cellIs" priority="3" operator="lessThan" dxfId="2">
      <formula>140</formula>
    </cfRule>
  </conditionalFormatting>
  <conditionalFormatting sqref="L5:L59">
    <cfRule type="colorScale" priority="4">
      <colorScale>
        <cfvo type="formula" val="0"/>
        <cfvo type="formula" val="0.8"/>
        <cfvo type="formula" val="1"/>
        <color rgb="FFD93025"/>
        <color rgb="FFD4A017"/>
        <color rgb="FF00A878"/>
      </colorScale>
    </cfRule>
  </conditionalFormatting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E8652A"/>
    <outlinePr summaryBelow="1" summaryRight="1"/>
    <pageSetUpPr/>
  </sheetPr>
  <dimension ref="B2:J61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70" min="1" max="1"/>
    <col width="16" customWidth="1" style="70" min="2" max="6"/>
    <col width="14" customWidth="1" style="70" min="7" max="10"/>
    <col width="8.710000000000001" customWidth="1" style="70" min="11" max="26"/>
  </cols>
  <sheetData>
    <row r="1" ht="7.5" customHeight="1" s="70"/>
    <row r="2" ht="36" customHeight="1" s="70">
      <c r="B2" s="87" t="inlineStr">
        <is>
          <t>📅 Weekly Summary — สรุปรายสัปดาห์</t>
        </is>
      </c>
    </row>
    <row r="4" ht="21.75" customHeight="1" s="70">
      <c r="B4" s="86" t="inlineStr">
        <is>
          <t>สัปดาห์ปัจจุบัน</t>
        </is>
      </c>
      <c r="C4" s="83" t="n"/>
      <c r="D4" s="83" t="n"/>
      <c r="E4" s="83" t="n"/>
      <c r="F4" s="83" t="n"/>
      <c r="G4" s="83" t="n"/>
      <c r="H4" s="83" t="n"/>
      <c r="I4" s="83" t="n"/>
      <c r="J4" s="73" t="n"/>
    </row>
    <row r="5" ht="24" customHeight="1" s="70">
      <c r="B5" s="40" t="inlineStr">
        <is>
          <t>จำนวนครั้ง</t>
        </is>
      </c>
      <c r="C5" s="40" t="inlineStr">
        <is>
          <t>ระยะรวม (กม.)</t>
        </is>
      </c>
      <c r="D5" s="40" t="inlineStr">
        <is>
          <t>เวลารวม (นาที)</t>
        </is>
      </c>
      <c r="E5" s="40" t="inlineStr">
        <is>
          <t>HR เฉลี่ย</t>
        </is>
      </c>
      <c r="F5" s="40" t="inlineStr">
        <is>
          <t>Zone 2 % เฉลี่ย</t>
        </is>
      </c>
    </row>
    <row r="6" ht="24" customHeight="1" s="70">
      <c r="B6" s="50">
        <f>COUNTIF(LOG!D:D,WEEKNUM(TODAY(),2))</f>
        <v/>
      </c>
      <c r="C6" s="66">
        <f>SUMIF(LOG!D:D,WEEKNUM(TODAY(),2),LOG!G:G)</f>
        <v/>
      </c>
      <c r="D6" s="50">
        <f>SUMIF(LOG!D:D,WEEKNUM(TODAY(),2),LOG!F:F)</f>
        <v/>
      </c>
      <c r="E6" s="50">
        <f>IFERROR(AVERAGEIF(LOG!D:D,WEEKNUM(TODAY(),2),LOG!J:J),"-")</f>
        <v/>
      </c>
      <c r="F6" s="67">
        <f>IFERROR(AVERAGEIF(LOG!D:D,WEEKNUM(TODAY(),2),LOG!L:L),"-")</f>
        <v/>
      </c>
    </row>
    <row r="8" ht="21.75" customHeight="1" s="70">
      <c r="B8" s="82" t="inlineStr">
        <is>
          <t>ประวัติรายสัปดาห์</t>
        </is>
      </c>
      <c r="C8" s="83" t="n"/>
      <c r="D8" s="83" t="n"/>
      <c r="E8" s="83" t="n"/>
      <c r="F8" s="83" t="n"/>
      <c r="G8" s="83" t="n"/>
      <c r="H8" s="83" t="n"/>
      <c r="I8" s="83" t="n"/>
      <c r="J8" s="73" t="n"/>
    </row>
    <row r="9" ht="21.75" customHeight="1" s="70">
      <c r="B9" s="24" t="inlineStr">
        <is>
          <t>สัปดาห์ที่</t>
        </is>
      </c>
      <c r="C9" s="24" t="inlineStr">
        <is>
          <t>จำนวนครั้ง</t>
        </is>
      </c>
      <c r="D9" s="24" t="inlineStr">
        <is>
          <t>ระยะรวม</t>
        </is>
      </c>
      <c r="E9" s="24" t="inlineStr">
        <is>
          <t>เวลารวม</t>
        </is>
      </c>
      <c r="F9" s="24" t="inlineStr">
        <is>
          <t>HR avg</t>
        </is>
      </c>
      <c r="G9" s="24" t="inlineStr">
        <is>
          <t>Zone 2 %</t>
        </is>
      </c>
      <c r="H9" s="24" t="inlineStr">
        <is>
          <t>Long Run</t>
        </is>
      </c>
      <c r="I9" s="24" t="inlineStr">
        <is>
          <t>Pace Zone 2</t>
        </is>
      </c>
      <c r="J9" s="24" t="inlineStr">
        <is>
          <t>เป้า (80%+ Z2)</t>
        </is>
      </c>
    </row>
    <row r="10" ht="19.5" customHeight="1" s="70">
      <c r="B10" s="68" t="n">
        <v>1</v>
      </c>
      <c r="C10" s="20">
        <f>COUNTIFS(LOG!D:D,1)</f>
        <v/>
      </c>
      <c r="D10" s="21">
        <f>SUMIFS(LOG!G:G,LOG!D:D,1)</f>
        <v/>
      </c>
      <c r="E10" s="20">
        <f>SUMIFS(LOG!F:F,LOG!D:D,1)</f>
        <v/>
      </c>
      <c r="F10" s="26">
        <f>IFERROR(AVERAGEIFS(LOG!J:J,LOG!D:D,1),"-")</f>
        <v/>
      </c>
      <c r="G10" s="22">
        <f>IFERROR(AVERAGEIFS(LOG!L:L,LOG!D:D,1),"-")</f>
        <v/>
      </c>
      <c r="H10" s="20">
        <f>IFERROR(MAXIFS(LOG!F:F,LOG!D:D,1,LOG!E:E,"Long Run"),"-")</f>
        <v/>
      </c>
      <c r="I10" s="21">
        <f>IFERROR(AVERAGEIFS(LOG!M:M,LOG!D:D,1),"-")</f>
        <v/>
      </c>
      <c r="J10" s="20">
        <f>IFERROR(IF(AVERAGEIFS(LOG!L:L,LOG!D:D,1)&gt;=0.8,"✅ ผ่าน","❌ ยังไม่ผ่าน"),"-")</f>
        <v/>
      </c>
    </row>
    <row r="11" ht="19.5" customHeight="1" s="70">
      <c r="B11" s="69" t="n">
        <v>2</v>
      </c>
      <c r="C11" s="28">
        <f>COUNTIFS(LOG!D:D,2)</f>
        <v/>
      </c>
      <c r="D11" s="29">
        <f>SUMIFS(LOG!G:G,LOG!D:D,2)</f>
        <v/>
      </c>
      <c r="E11" s="28">
        <f>SUMIFS(LOG!F:F,LOG!D:D,2)</f>
        <v/>
      </c>
      <c r="F11" s="30">
        <f>IFERROR(AVERAGEIFS(LOG!J:J,LOG!D:D,2),"-")</f>
        <v/>
      </c>
      <c r="G11" s="31">
        <f>IFERROR(AVERAGEIFS(LOG!L:L,LOG!D:D,2),"-")</f>
        <v/>
      </c>
      <c r="H11" s="28">
        <f>IFERROR(MAXIFS(LOG!F:F,LOG!D:D,2,LOG!E:E,"Long Run"),"-")</f>
        <v/>
      </c>
      <c r="I11" s="29">
        <f>IFERROR(AVERAGEIFS(LOG!M:M,LOG!D:D,2),"-")</f>
        <v/>
      </c>
      <c r="J11" s="28">
        <f>IFERROR(IF(AVERAGEIFS(LOG!L:L,LOG!D:D,2)&gt;=0.8,"✅ ผ่าน","❌ ยังไม่ผ่าน"),"-")</f>
        <v/>
      </c>
    </row>
    <row r="12" ht="19.5" customHeight="1" s="70">
      <c r="B12" s="68" t="n">
        <v>3</v>
      </c>
      <c r="C12" s="20">
        <f>COUNTIFS(LOG!D:D,3)</f>
        <v/>
      </c>
      <c r="D12" s="21">
        <f>SUMIFS(LOG!G:G,LOG!D:D,3)</f>
        <v/>
      </c>
      <c r="E12" s="20">
        <f>SUMIFS(LOG!F:F,LOG!D:D,3)</f>
        <v/>
      </c>
      <c r="F12" s="26">
        <f>IFERROR(AVERAGEIFS(LOG!J:J,LOG!D:D,3),"-")</f>
        <v/>
      </c>
      <c r="G12" s="22">
        <f>IFERROR(AVERAGEIFS(LOG!L:L,LOG!D:D,3),"-")</f>
        <v/>
      </c>
      <c r="H12" s="20">
        <f>IFERROR(MAXIFS(LOG!F:F,LOG!D:D,3,LOG!E:E,"Long Run"),"-")</f>
        <v/>
      </c>
      <c r="I12" s="21">
        <f>IFERROR(AVERAGEIFS(LOG!M:M,LOG!D:D,3),"-")</f>
        <v/>
      </c>
      <c r="J12" s="20">
        <f>IFERROR(IF(AVERAGEIFS(LOG!L:L,LOG!D:D,3)&gt;=0.8,"✅ ผ่าน","❌ ยังไม่ผ่าน"),"-")</f>
        <v/>
      </c>
    </row>
    <row r="13" ht="19.5" customHeight="1" s="70">
      <c r="B13" s="69" t="n">
        <v>4</v>
      </c>
      <c r="C13" s="28">
        <f>COUNTIFS(LOG!D:D,4)</f>
        <v/>
      </c>
      <c r="D13" s="29">
        <f>SUMIFS(LOG!G:G,LOG!D:D,4)</f>
        <v/>
      </c>
      <c r="E13" s="28">
        <f>SUMIFS(LOG!F:F,LOG!D:D,4)</f>
        <v/>
      </c>
      <c r="F13" s="30">
        <f>IFERROR(AVERAGEIFS(LOG!J:J,LOG!D:D,4),"-")</f>
        <v/>
      </c>
      <c r="G13" s="31">
        <f>IFERROR(AVERAGEIFS(LOG!L:L,LOG!D:D,4),"-")</f>
        <v/>
      </c>
      <c r="H13" s="28">
        <f>IFERROR(MAXIFS(LOG!F:F,LOG!D:D,4,LOG!E:E,"Long Run"),"-")</f>
        <v/>
      </c>
      <c r="I13" s="29">
        <f>IFERROR(AVERAGEIFS(LOG!M:M,LOG!D:D,4),"-")</f>
        <v/>
      </c>
      <c r="J13" s="28">
        <f>IFERROR(IF(AVERAGEIFS(LOG!L:L,LOG!D:D,4)&gt;=0.8,"✅ ผ่าน","❌ ยังไม่ผ่าน"),"-")</f>
        <v/>
      </c>
    </row>
    <row r="14" ht="19.5" customHeight="1" s="70">
      <c r="B14" s="68" t="n">
        <v>5</v>
      </c>
      <c r="C14" s="20">
        <f>COUNTIFS(LOG!D:D,5)</f>
        <v/>
      </c>
      <c r="D14" s="21">
        <f>SUMIFS(LOG!G:G,LOG!D:D,5)</f>
        <v/>
      </c>
      <c r="E14" s="20">
        <f>SUMIFS(LOG!F:F,LOG!D:D,5)</f>
        <v/>
      </c>
      <c r="F14" s="26">
        <f>IFERROR(AVERAGEIFS(LOG!J:J,LOG!D:D,5),"-")</f>
        <v/>
      </c>
      <c r="G14" s="22">
        <f>IFERROR(AVERAGEIFS(LOG!L:L,LOG!D:D,5),"-")</f>
        <v/>
      </c>
      <c r="H14" s="20">
        <f>IFERROR(MAXIFS(LOG!F:F,LOG!D:D,5,LOG!E:E,"Long Run"),"-")</f>
        <v/>
      </c>
      <c r="I14" s="21">
        <f>IFERROR(AVERAGEIFS(LOG!M:M,LOG!D:D,5),"-")</f>
        <v/>
      </c>
      <c r="J14" s="20">
        <f>IFERROR(IF(AVERAGEIFS(LOG!L:L,LOG!D:D,5)&gt;=0.8,"✅ ผ่าน","❌ ยังไม่ผ่าน"),"-")</f>
        <v/>
      </c>
    </row>
    <row r="15" ht="19.5" customHeight="1" s="70">
      <c r="B15" s="69" t="n">
        <v>6</v>
      </c>
      <c r="C15" s="28">
        <f>COUNTIFS(LOG!D:D,6)</f>
        <v/>
      </c>
      <c r="D15" s="29">
        <f>SUMIFS(LOG!G:G,LOG!D:D,6)</f>
        <v/>
      </c>
      <c r="E15" s="28">
        <f>SUMIFS(LOG!F:F,LOG!D:D,6)</f>
        <v/>
      </c>
      <c r="F15" s="30">
        <f>IFERROR(AVERAGEIFS(LOG!J:J,LOG!D:D,6),"-")</f>
        <v/>
      </c>
      <c r="G15" s="31">
        <f>IFERROR(AVERAGEIFS(LOG!L:L,LOG!D:D,6),"-")</f>
        <v/>
      </c>
      <c r="H15" s="28">
        <f>IFERROR(MAXIFS(LOG!F:F,LOG!D:D,6,LOG!E:E,"Long Run"),"-")</f>
        <v/>
      </c>
      <c r="I15" s="29">
        <f>IFERROR(AVERAGEIFS(LOG!M:M,LOG!D:D,6),"-")</f>
        <v/>
      </c>
      <c r="J15" s="28">
        <f>IFERROR(IF(AVERAGEIFS(LOG!L:L,LOG!D:D,6)&gt;=0.8,"✅ ผ่าน","❌ ยังไม่ผ่าน"),"-")</f>
        <v/>
      </c>
    </row>
    <row r="16" ht="19.5" customHeight="1" s="70">
      <c r="B16" s="68" t="n">
        <v>7</v>
      </c>
      <c r="C16" s="20">
        <f>COUNTIFS(LOG!D:D,7)</f>
        <v/>
      </c>
      <c r="D16" s="21">
        <f>SUMIFS(LOG!G:G,LOG!D:D,7)</f>
        <v/>
      </c>
      <c r="E16" s="20">
        <f>SUMIFS(LOG!F:F,LOG!D:D,7)</f>
        <v/>
      </c>
      <c r="F16" s="26">
        <f>IFERROR(AVERAGEIFS(LOG!J:J,LOG!D:D,7),"-")</f>
        <v/>
      </c>
      <c r="G16" s="22">
        <f>IFERROR(AVERAGEIFS(LOG!L:L,LOG!D:D,7),"-")</f>
        <v/>
      </c>
      <c r="H16" s="20">
        <f>IFERROR(MAXIFS(LOG!F:F,LOG!D:D,7,LOG!E:E,"Long Run"),"-")</f>
        <v/>
      </c>
      <c r="I16" s="21">
        <f>IFERROR(AVERAGEIFS(LOG!M:M,LOG!D:D,7),"-")</f>
        <v/>
      </c>
      <c r="J16" s="20">
        <f>IFERROR(IF(AVERAGEIFS(LOG!L:L,LOG!D:D,7)&gt;=0.8,"✅ ผ่าน","❌ ยังไม่ผ่าน"),"-")</f>
        <v/>
      </c>
    </row>
    <row r="17" ht="19.5" customHeight="1" s="70">
      <c r="B17" s="69" t="n">
        <v>8</v>
      </c>
      <c r="C17" s="28">
        <f>COUNTIFS(LOG!D:D,8)</f>
        <v/>
      </c>
      <c r="D17" s="29">
        <f>SUMIFS(LOG!G:G,LOG!D:D,8)</f>
        <v/>
      </c>
      <c r="E17" s="28">
        <f>SUMIFS(LOG!F:F,LOG!D:D,8)</f>
        <v/>
      </c>
      <c r="F17" s="30">
        <f>IFERROR(AVERAGEIFS(LOG!J:J,LOG!D:D,8),"-")</f>
        <v/>
      </c>
      <c r="G17" s="31">
        <f>IFERROR(AVERAGEIFS(LOG!L:L,LOG!D:D,8),"-")</f>
        <v/>
      </c>
      <c r="H17" s="28">
        <f>IFERROR(MAXIFS(LOG!F:F,LOG!D:D,8,LOG!E:E,"Long Run"),"-")</f>
        <v/>
      </c>
      <c r="I17" s="29">
        <f>IFERROR(AVERAGEIFS(LOG!M:M,LOG!D:D,8),"-")</f>
        <v/>
      </c>
      <c r="J17" s="28">
        <f>IFERROR(IF(AVERAGEIFS(LOG!L:L,LOG!D:D,8)&gt;=0.8,"✅ ผ่าน","❌ ยังไม่ผ่าน"),"-")</f>
        <v/>
      </c>
    </row>
    <row r="18" ht="19.5" customHeight="1" s="70">
      <c r="B18" s="68" t="n">
        <v>9</v>
      </c>
      <c r="C18" s="20">
        <f>COUNTIFS(LOG!D:D,9)</f>
        <v/>
      </c>
      <c r="D18" s="21">
        <f>SUMIFS(LOG!G:G,LOG!D:D,9)</f>
        <v/>
      </c>
      <c r="E18" s="20">
        <f>SUMIFS(LOG!F:F,LOG!D:D,9)</f>
        <v/>
      </c>
      <c r="F18" s="26">
        <f>IFERROR(AVERAGEIFS(LOG!J:J,LOG!D:D,9),"-")</f>
        <v/>
      </c>
      <c r="G18" s="22">
        <f>IFERROR(AVERAGEIFS(LOG!L:L,LOG!D:D,9),"-")</f>
        <v/>
      </c>
      <c r="H18" s="20">
        <f>IFERROR(MAXIFS(LOG!F:F,LOG!D:D,9,LOG!E:E,"Long Run"),"-")</f>
        <v/>
      </c>
      <c r="I18" s="21">
        <f>IFERROR(AVERAGEIFS(LOG!M:M,LOG!D:D,9),"-")</f>
        <v/>
      </c>
      <c r="J18" s="20">
        <f>IFERROR(IF(AVERAGEIFS(LOG!L:L,LOG!D:D,9)&gt;=0.8,"✅ ผ่าน","❌ ยังไม่ผ่าน"),"-")</f>
        <v/>
      </c>
    </row>
    <row r="19" ht="19.5" customHeight="1" s="70">
      <c r="B19" s="69" t="n">
        <v>10</v>
      </c>
      <c r="C19" s="28">
        <f>COUNTIFS(LOG!D:D,10)</f>
        <v/>
      </c>
      <c r="D19" s="29">
        <f>SUMIFS(LOG!G:G,LOG!D:D,10)</f>
        <v/>
      </c>
      <c r="E19" s="28">
        <f>SUMIFS(LOG!F:F,LOG!D:D,10)</f>
        <v/>
      </c>
      <c r="F19" s="30">
        <f>IFERROR(AVERAGEIFS(LOG!J:J,LOG!D:D,10),"-")</f>
        <v/>
      </c>
      <c r="G19" s="31">
        <f>IFERROR(AVERAGEIFS(LOG!L:L,LOG!D:D,10),"-")</f>
        <v/>
      </c>
      <c r="H19" s="28">
        <f>IFERROR(MAXIFS(LOG!F:F,LOG!D:D,10,LOG!E:E,"Long Run"),"-")</f>
        <v/>
      </c>
      <c r="I19" s="29">
        <f>IFERROR(AVERAGEIFS(LOG!M:M,LOG!D:D,10),"-")</f>
        <v/>
      </c>
      <c r="J19" s="28">
        <f>IFERROR(IF(AVERAGEIFS(LOG!L:L,LOG!D:D,10)&gt;=0.8,"✅ ผ่าน","❌ ยังไม่ผ่าน"),"-")</f>
        <v/>
      </c>
    </row>
    <row r="20" ht="19.5" customHeight="1" s="70">
      <c r="B20" s="68" t="n">
        <v>11</v>
      </c>
      <c r="C20" s="20">
        <f>COUNTIFS(LOG!D:D,11)</f>
        <v/>
      </c>
      <c r="D20" s="21">
        <f>SUMIFS(LOG!G:G,LOG!D:D,11)</f>
        <v/>
      </c>
      <c r="E20" s="20">
        <f>SUMIFS(LOG!F:F,LOG!D:D,11)</f>
        <v/>
      </c>
      <c r="F20" s="26">
        <f>IFERROR(AVERAGEIFS(LOG!J:J,LOG!D:D,11),"-")</f>
        <v/>
      </c>
      <c r="G20" s="22">
        <f>IFERROR(AVERAGEIFS(LOG!L:L,LOG!D:D,11),"-")</f>
        <v/>
      </c>
      <c r="H20" s="20">
        <f>IFERROR(MAXIFS(LOG!F:F,LOG!D:D,11,LOG!E:E,"Long Run"),"-")</f>
        <v/>
      </c>
      <c r="I20" s="21">
        <f>IFERROR(AVERAGEIFS(LOG!M:M,LOG!D:D,11),"-")</f>
        <v/>
      </c>
      <c r="J20" s="20">
        <f>IFERROR(IF(AVERAGEIFS(LOG!L:L,LOG!D:D,11)&gt;=0.8,"✅ ผ่าน","❌ ยังไม่ผ่าน"),"-")</f>
        <v/>
      </c>
    </row>
    <row r="21" ht="19.5" customHeight="1" s="70">
      <c r="B21" s="69" t="n">
        <v>12</v>
      </c>
      <c r="C21" s="28">
        <f>COUNTIFS(LOG!D:D,12)</f>
        <v/>
      </c>
      <c r="D21" s="29">
        <f>SUMIFS(LOG!G:G,LOG!D:D,12)</f>
        <v/>
      </c>
      <c r="E21" s="28">
        <f>SUMIFS(LOG!F:F,LOG!D:D,12)</f>
        <v/>
      </c>
      <c r="F21" s="30">
        <f>IFERROR(AVERAGEIFS(LOG!J:J,LOG!D:D,12),"-")</f>
        <v/>
      </c>
      <c r="G21" s="31">
        <f>IFERROR(AVERAGEIFS(LOG!L:L,LOG!D:D,12),"-")</f>
        <v/>
      </c>
      <c r="H21" s="28">
        <f>IFERROR(MAXIFS(LOG!F:F,LOG!D:D,12,LOG!E:E,"Long Run"),"-")</f>
        <v/>
      </c>
      <c r="I21" s="29">
        <f>IFERROR(AVERAGEIFS(LOG!M:M,LOG!D:D,12),"-")</f>
        <v/>
      </c>
      <c r="J21" s="28">
        <f>IFERROR(IF(AVERAGEIFS(LOG!L:L,LOG!D:D,12)&gt;=0.8,"✅ ผ่าน","❌ ยังไม่ผ่าน"),"-")</f>
        <v/>
      </c>
    </row>
    <row r="22" ht="19.5" customHeight="1" s="70">
      <c r="B22" s="68" t="n">
        <v>13</v>
      </c>
      <c r="C22" s="20">
        <f>COUNTIFS(LOG!D:D,13)</f>
        <v/>
      </c>
      <c r="D22" s="21">
        <f>SUMIFS(LOG!G:G,LOG!D:D,13)</f>
        <v/>
      </c>
      <c r="E22" s="20">
        <f>SUMIFS(LOG!F:F,LOG!D:D,13)</f>
        <v/>
      </c>
      <c r="F22" s="26">
        <f>IFERROR(AVERAGEIFS(LOG!J:J,LOG!D:D,13),"-")</f>
        <v/>
      </c>
      <c r="G22" s="22">
        <f>IFERROR(AVERAGEIFS(LOG!L:L,LOG!D:D,13),"-")</f>
        <v/>
      </c>
      <c r="H22" s="20">
        <f>IFERROR(MAXIFS(LOG!F:F,LOG!D:D,13,LOG!E:E,"Long Run"),"-")</f>
        <v/>
      </c>
      <c r="I22" s="21">
        <f>IFERROR(AVERAGEIFS(LOG!M:M,LOG!D:D,13),"-")</f>
        <v/>
      </c>
      <c r="J22" s="20">
        <f>IFERROR(IF(AVERAGEIFS(LOG!L:L,LOG!D:D,13)&gt;=0.8,"✅ ผ่าน","❌ ยังไม่ผ่าน"),"-")</f>
        <v/>
      </c>
    </row>
    <row r="23" ht="19.5" customHeight="1" s="70">
      <c r="B23" s="69" t="n">
        <v>14</v>
      </c>
      <c r="C23" s="28">
        <f>COUNTIFS(LOG!D:D,14)</f>
        <v/>
      </c>
      <c r="D23" s="29">
        <f>SUMIFS(LOG!G:G,LOG!D:D,14)</f>
        <v/>
      </c>
      <c r="E23" s="28">
        <f>SUMIFS(LOG!F:F,LOG!D:D,14)</f>
        <v/>
      </c>
      <c r="F23" s="30">
        <f>IFERROR(AVERAGEIFS(LOG!J:J,LOG!D:D,14),"-")</f>
        <v/>
      </c>
      <c r="G23" s="31">
        <f>IFERROR(AVERAGEIFS(LOG!L:L,LOG!D:D,14),"-")</f>
        <v/>
      </c>
      <c r="H23" s="28">
        <f>IFERROR(MAXIFS(LOG!F:F,LOG!D:D,14,LOG!E:E,"Long Run"),"-")</f>
        <v/>
      </c>
      <c r="I23" s="29">
        <f>IFERROR(AVERAGEIFS(LOG!M:M,LOG!D:D,14),"-")</f>
        <v/>
      </c>
      <c r="J23" s="28">
        <f>IFERROR(IF(AVERAGEIFS(LOG!L:L,LOG!D:D,14)&gt;=0.8,"✅ ผ่าน","❌ ยังไม่ผ่าน"),"-")</f>
        <v/>
      </c>
    </row>
    <row r="24" ht="19.5" customHeight="1" s="70">
      <c r="B24" s="68" t="n">
        <v>15</v>
      </c>
      <c r="C24" s="20">
        <f>COUNTIFS(LOG!D:D,15)</f>
        <v/>
      </c>
      <c r="D24" s="21">
        <f>SUMIFS(LOG!G:G,LOG!D:D,15)</f>
        <v/>
      </c>
      <c r="E24" s="20">
        <f>SUMIFS(LOG!F:F,LOG!D:D,15)</f>
        <v/>
      </c>
      <c r="F24" s="26">
        <f>IFERROR(AVERAGEIFS(LOG!J:J,LOG!D:D,15),"-")</f>
        <v/>
      </c>
      <c r="G24" s="22">
        <f>IFERROR(AVERAGEIFS(LOG!L:L,LOG!D:D,15),"-")</f>
        <v/>
      </c>
      <c r="H24" s="20">
        <f>IFERROR(MAXIFS(LOG!F:F,LOG!D:D,15,LOG!E:E,"Long Run"),"-")</f>
        <v/>
      </c>
      <c r="I24" s="21">
        <f>IFERROR(AVERAGEIFS(LOG!M:M,LOG!D:D,15),"-")</f>
        <v/>
      </c>
      <c r="J24" s="20">
        <f>IFERROR(IF(AVERAGEIFS(LOG!L:L,LOG!D:D,15)&gt;=0.8,"✅ ผ่าน","❌ ยังไม่ผ่าน"),"-")</f>
        <v/>
      </c>
    </row>
    <row r="25" ht="19.5" customHeight="1" s="70">
      <c r="B25" s="69" t="n">
        <v>16</v>
      </c>
      <c r="C25" s="28">
        <f>COUNTIFS(LOG!D:D,16)</f>
        <v/>
      </c>
      <c r="D25" s="29">
        <f>SUMIFS(LOG!G:G,LOG!D:D,16)</f>
        <v/>
      </c>
      <c r="E25" s="28">
        <f>SUMIFS(LOG!F:F,LOG!D:D,16)</f>
        <v/>
      </c>
      <c r="F25" s="30">
        <f>IFERROR(AVERAGEIFS(LOG!J:J,LOG!D:D,16),"-")</f>
        <v/>
      </c>
      <c r="G25" s="31">
        <f>IFERROR(AVERAGEIFS(LOG!L:L,LOG!D:D,16),"-")</f>
        <v/>
      </c>
      <c r="H25" s="28">
        <f>IFERROR(MAXIFS(LOG!F:F,LOG!D:D,16,LOG!E:E,"Long Run"),"-")</f>
        <v/>
      </c>
      <c r="I25" s="29">
        <f>IFERROR(AVERAGEIFS(LOG!M:M,LOG!D:D,16),"-")</f>
        <v/>
      </c>
      <c r="J25" s="28">
        <f>IFERROR(IF(AVERAGEIFS(LOG!L:L,LOG!D:D,16)&gt;=0.8,"✅ ผ่าน","❌ ยังไม่ผ่าน"),"-")</f>
        <v/>
      </c>
    </row>
    <row r="26" ht="19.5" customHeight="1" s="70">
      <c r="B26" s="68" t="n">
        <v>17</v>
      </c>
      <c r="C26" s="20">
        <f>COUNTIFS(LOG!D:D,17)</f>
        <v/>
      </c>
      <c r="D26" s="21">
        <f>SUMIFS(LOG!G:G,LOG!D:D,17)</f>
        <v/>
      </c>
      <c r="E26" s="20">
        <f>SUMIFS(LOG!F:F,LOG!D:D,17)</f>
        <v/>
      </c>
      <c r="F26" s="26">
        <f>IFERROR(AVERAGEIFS(LOG!J:J,LOG!D:D,17),"-")</f>
        <v/>
      </c>
      <c r="G26" s="22">
        <f>IFERROR(AVERAGEIFS(LOG!L:L,LOG!D:D,17),"-")</f>
        <v/>
      </c>
      <c r="H26" s="20">
        <f>IFERROR(MAXIFS(LOG!F:F,LOG!D:D,17,LOG!E:E,"Long Run"),"-")</f>
        <v/>
      </c>
      <c r="I26" s="21">
        <f>IFERROR(AVERAGEIFS(LOG!M:M,LOG!D:D,17),"-")</f>
        <v/>
      </c>
      <c r="J26" s="20">
        <f>IFERROR(IF(AVERAGEIFS(LOG!L:L,LOG!D:D,17)&gt;=0.8,"✅ ผ่าน","❌ ยังไม่ผ่าน"),"-")</f>
        <v/>
      </c>
    </row>
    <row r="27" ht="19.5" customHeight="1" s="70">
      <c r="B27" s="69" t="n">
        <v>18</v>
      </c>
      <c r="C27" s="28">
        <f>COUNTIFS(LOG!D:D,18)</f>
        <v/>
      </c>
      <c r="D27" s="29">
        <f>SUMIFS(LOG!G:G,LOG!D:D,18)</f>
        <v/>
      </c>
      <c r="E27" s="28">
        <f>SUMIFS(LOG!F:F,LOG!D:D,18)</f>
        <v/>
      </c>
      <c r="F27" s="30">
        <f>IFERROR(AVERAGEIFS(LOG!J:J,LOG!D:D,18),"-")</f>
        <v/>
      </c>
      <c r="G27" s="31">
        <f>IFERROR(AVERAGEIFS(LOG!L:L,LOG!D:D,18),"-")</f>
        <v/>
      </c>
      <c r="H27" s="28">
        <f>IFERROR(MAXIFS(LOG!F:F,LOG!D:D,18,LOG!E:E,"Long Run"),"-")</f>
        <v/>
      </c>
      <c r="I27" s="29">
        <f>IFERROR(AVERAGEIFS(LOG!M:M,LOG!D:D,18),"-")</f>
        <v/>
      </c>
      <c r="J27" s="28">
        <f>IFERROR(IF(AVERAGEIFS(LOG!L:L,LOG!D:D,18)&gt;=0.8,"✅ ผ่าน","❌ ยังไม่ผ่าน"),"-")</f>
        <v/>
      </c>
    </row>
    <row r="28" ht="19.5" customHeight="1" s="70">
      <c r="B28" s="68" t="n">
        <v>19</v>
      </c>
      <c r="C28" s="20">
        <f>COUNTIFS(LOG!D:D,19)</f>
        <v/>
      </c>
      <c r="D28" s="21">
        <f>SUMIFS(LOG!G:G,LOG!D:D,19)</f>
        <v/>
      </c>
      <c r="E28" s="20">
        <f>SUMIFS(LOG!F:F,LOG!D:D,19)</f>
        <v/>
      </c>
      <c r="F28" s="26">
        <f>IFERROR(AVERAGEIFS(LOG!J:J,LOG!D:D,19),"-")</f>
        <v/>
      </c>
      <c r="G28" s="22">
        <f>IFERROR(AVERAGEIFS(LOG!L:L,LOG!D:D,19),"-")</f>
        <v/>
      </c>
      <c r="H28" s="20">
        <f>IFERROR(MAXIFS(LOG!F:F,LOG!D:D,19,LOG!E:E,"Long Run"),"-")</f>
        <v/>
      </c>
      <c r="I28" s="21">
        <f>IFERROR(AVERAGEIFS(LOG!M:M,LOG!D:D,19),"-")</f>
        <v/>
      </c>
      <c r="J28" s="20">
        <f>IFERROR(IF(AVERAGEIFS(LOG!L:L,LOG!D:D,19)&gt;=0.8,"✅ ผ่าน","❌ ยังไม่ผ่าน"),"-")</f>
        <v/>
      </c>
    </row>
    <row r="29" ht="19.5" customHeight="1" s="70">
      <c r="B29" s="69" t="n">
        <v>20</v>
      </c>
      <c r="C29" s="28">
        <f>COUNTIFS(LOG!D:D,20)</f>
        <v/>
      </c>
      <c r="D29" s="29">
        <f>SUMIFS(LOG!G:G,LOG!D:D,20)</f>
        <v/>
      </c>
      <c r="E29" s="28">
        <f>SUMIFS(LOG!F:F,LOG!D:D,20)</f>
        <v/>
      </c>
      <c r="F29" s="30">
        <f>IFERROR(AVERAGEIFS(LOG!J:J,LOG!D:D,20),"-")</f>
        <v/>
      </c>
      <c r="G29" s="31">
        <f>IFERROR(AVERAGEIFS(LOG!L:L,LOG!D:D,20),"-")</f>
        <v/>
      </c>
      <c r="H29" s="28">
        <f>IFERROR(MAXIFS(LOG!F:F,LOG!D:D,20,LOG!E:E,"Long Run"),"-")</f>
        <v/>
      </c>
      <c r="I29" s="29">
        <f>IFERROR(AVERAGEIFS(LOG!M:M,LOG!D:D,20),"-")</f>
        <v/>
      </c>
      <c r="J29" s="28">
        <f>IFERROR(IF(AVERAGEIFS(LOG!L:L,LOG!D:D,20)&gt;=0.8,"✅ ผ่าน","❌ ยังไม่ผ่าน"),"-")</f>
        <v/>
      </c>
    </row>
    <row r="30" ht="19.5" customHeight="1" s="70">
      <c r="B30" s="68" t="n">
        <v>21</v>
      </c>
      <c r="C30" s="20">
        <f>COUNTIFS(LOG!D:D,21)</f>
        <v/>
      </c>
      <c r="D30" s="21">
        <f>SUMIFS(LOG!G:G,LOG!D:D,21)</f>
        <v/>
      </c>
      <c r="E30" s="20">
        <f>SUMIFS(LOG!F:F,LOG!D:D,21)</f>
        <v/>
      </c>
      <c r="F30" s="26">
        <f>IFERROR(AVERAGEIFS(LOG!J:J,LOG!D:D,21),"-")</f>
        <v/>
      </c>
      <c r="G30" s="22">
        <f>IFERROR(AVERAGEIFS(LOG!L:L,LOG!D:D,21),"-")</f>
        <v/>
      </c>
      <c r="H30" s="20">
        <f>IFERROR(MAXIFS(LOG!F:F,LOG!D:D,21,LOG!E:E,"Long Run"),"-")</f>
        <v/>
      </c>
      <c r="I30" s="21">
        <f>IFERROR(AVERAGEIFS(LOG!M:M,LOG!D:D,21),"-")</f>
        <v/>
      </c>
      <c r="J30" s="20">
        <f>IFERROR(IF(AVERAGEIFS(LOG!L:L,LOG!D:D,21)&gt;=0.8,"✅ ผ่าน","❌ ยังไม่ผ่าน"),"-")</f>
        <v/>
      </c>
    </row>
    <row r="31" ht="19.5" customHeight="1" s="70">
      <c r="B31" s="69" t="n">
        <v>22</v>
      </c>
      <c r="C31" s="28">
        <f>COUNTIFS(LOG!D:D,22)</f>
        <v/>
      </c>
      <c r="D31" s="29">
        <f>SUMIFS(LOG!G:G,LOG!D:D,22)</f>
        <v/>
      </c>
      <c r="E31" s="28">
        <f>SUMIFS(LOG!F:F,LOG!D:D,22)</f>
        <v/>
      </c>
      <c r="F31" s="30">
        <f>IFERROR(AVERAGEIFS(LOG!J:J,LOG!D:D,22),"-")</f>
        <v/>
      </c>
      <c r="G31" s="31">
        <f>IFERROR(AVERAGEIFS(LOG!L:L,LOG!D:D,22),"-")</f>
        <v/>
      </c>
      <c r="H31" s="28">
        <f>IFERROR(MAXIFS(LOG!F:F,LOG!D:D,22,LOG!E:E,"Long Run"),"-")</f>
        <v/>
      </c>
      <c r="I31" s="29">
        <f>IFERROR(AVERAGEIFS(LOG!M:M,LOG!D:D,22),"-")</f>
        <v/>
      </c>
      <c r="J31" s="28">
        <f>IFERROR(IF(AVERAGEIFS(LOG!L:L,LOG!D:D,22)&gt;=0.8,"✅ ผ่าน","❌ ยังไม่ผ่าน"),"-")</f>
        <v/>
      </c>
    </row>
    <row r="32" ht="19.5" customHeight="1" s="70">
      <c r="B32" s="68" t="n">
        <v>23</v>
      </c>
      <c r="C32" s="20">
        <f>COUNTIFS(LOG!D:D,23)</f>
        <v/>
      </c>
      <c r="D32" s="21">
        <f>SUMIFS(LOG!G:G,LOG!D:D,23)</f>
        <v/>
      </c>
      <c r="E32" s="20">
        <f>SUMIFS(LOG!F:F,LOG!D:D,23)</f>
        <v/>
      </c>
      <c r="F32" s="26">
        <f>IFERROR(AVERAGEIFS(LOG!J:J,LOG!D:D,23),"-")</f>
        <v/>
      </c>
      <c r="G32" s="22">
        <f>IFERROR(AVERAGEIFS(LOG!L:L,LOG!D:D,23),"-")</f>
        <v/>
      </c>
      <c r="H32" s="20">
        <f>IFERROR(MAXIFS(LOG!F:F,LOG!D:D,23,LOG!E:E,"Long Run"),"-")</f>
        <v/>
      </c>
      <c r="I32" s="21">
        <f>IFERROR(AVERAGEIFS(LOG!M:M,LOG!D:D,23),"-")</f>
        <v/>
      </c>
      <c r="J32" s="20">
        <f>IFERROR(IF(AVERAGEIFS(LOG!L:L,LOG!D:D,23)&gt;=0.8,"✅ ผ่าน","❌ ยังไม่ผ่าน"),"-")</f>
        <v/>
      </c>
    </row>
    <row r="33" ht="19.5" customHeight="1" s="70">
      <c r="B33" s="69" t="n">
        <v>24</v>
      </c>
      <c r="C33" s="28">
        <f>COUNTIFS(LOG!D:D,24)</f>
        <v/>
      </c>
      <c r="D33" s="29">
        <f>SUMIFS(LOG!G:G,LOG!D:D,24)</f>
        <v/>
      </c>
      <c r="E33" s="28">
        <f>SUMIFS(LOG!F:F,LOG!D:D,24)</f>
        <v/>
      </c>
      <c r="F33" s="30">
        <f>IFERROR(AVERAGEIFS(LOG!J:J,LOG!D:D,24),"-")</f>
        <v/>
      </c>
      <c r="G33" s="31">
        <f>IFERROR(AVERAGEIFS(LOG!L:L,LOG!D:D,24),"-")</f>
        <v/>
      </c>
      <c r="H33" s="28">
        <f>IFERROR(MAXIFS(LOG!F:F,LOG!D:D,24,LOG!E:E,"Long Run"),"-")</f>
        <v/>
      </c>
      <c r="I33" s="29">
        <f>IFERROR(AVERAGEIFS(LOG!M:M,LOG!D:D,24),"-")</f>
        <v/>
      </c>
      <c r="J33" s="28">
        <f>IFERROR(IF(AVERAGEIFS(LOG!L:L,LOG!D:D,24)&gt;=0.8,"✅ ผ่าน","❌ ยังไม่ผ่าน"),"-")</f>
        <v/>
      </c>
    </row>
    <row r="34" ht="19.5" customHeight="1" s="70">
      <c r="B34" s="68" t="n">
        <v>25</v>
      </c>
      <c r="C34" s="20">
        <f>COUNTIFS(LOG!D:D,25)</f>
        <v/>
      </c>
      <c r="D34" s="21">
        <f>SUMIFS(LOG!G:G,LOG!D:D,25)</f>
        <v/>
      </c>
      <c r="E34" s="20">
        <f>SUMIFS(LOG!F:F,LOG!D:D,25)</f>
        <v/>
      </c>
      <c r="F34" s="26">
        <f>IFERROR(AVERAGEIFS(LOG!J:J,LOG!D:D,25),"-")</f>
        <v/>
      </c>
      <c r="G34" s="22">
        <f>IFERROR(AVERAGEIFS(LOG!L:L,LOG!D:D,25),"-")</f>
        <v/>
      </c>
      <c r="H34" s="20">
        <f>IFERROR(MAXIFS(LOG!F:F,LOG!D:D,25,LOG!E:E,"Long Run"),"-")</f>
        <v/>
      </c>
      <c r="I34" s="21">
        <f>IFERROR(AVERAGEIFS(LOG!M:M,LOG!D:D,25),"-")</f>
        <v/>
      </c>
      <c r="J34" s="20">
        <f>IFERROR(IF(AVERAGEIFS(LOG!L:L,LOG!D:D,25)&gt;=0.8,"✅ ผ่าน","❌ ยังไม่ผ่าน"),"-")</f>
        <v/>
      </c>
    </row>
    <row r="35" ht="19.5" customHeight="1" s="70">
      <c r="B35" s="69" t="n">
        <v>26</v>
      </c>
      <c r="C35" s="28">
        <f>COUNTIFS(LOG!D:D,26)</f>
        <v/>
      </c>
      <c r="D35" s="29">
        <f>SUMIFS(LOG!G:G,LOG!D:D,26)</f>
        <v/>
      </c>
      <c r="E35" s="28">
        <f>SUMIFS(LOG!F:F,LOG!D:D,26)</f>
        <v/>
      </c>
      <c r="F35" s="30">
        <f>IFERROR(AVERAGEIFS(LOG!J:J,LOG!D:D,26),"-")</f>
        <v/>
      </c>
      <c r="G35" s="31">
        <f>IFERROR(AVERAGEIFS(LOG!L:L,LOG!D:D,26),"-")</f>
        <v/>
      </c>
      <c r="H35" s="28">
        <f>IFERROR(MAXIFS(LOG!F:F,LOG!D:D,26,LOG!E:E,"Long Run"),"-")</f>
        <v/>
      </c>
      <c r="I35" s="29">
        <f>IFERROR(AVERAGEIFS(LOG!M:M,LOG!D:D,26),"-")</f>
        <v/>
      </c>
      <c r="J35" s="28">
        <f>IFERROR(IF(AVERAGEIFS(LOG!L:L,LOG!D:D,26)&gt;=0.8,"✅ ผ่าน","❌ ยังไม่ผ่าน"),"-")</f>
        <v/>
      </c>
    </row>
    <row r="36" ht="19.5" customHeight="1" s="70">
      <c r="B36" s="68" t="n">
        <v>27</v>
      </c>
      <c r="C36" s="20">
        <f>COUNTIFS(LOG!D:D,27)</f>
        <v/>
      </c>
      <c r="D36" s="21">
        <f>SUMIFS(LOG!G:G,LOG!D:D,27)</f>
        <v/>
      </c>
      <c r="E36" s="20">
        <f>SUMIFS(LOG!F:F,LOG!D:D,27)</f>
        <v/>
      </c>
      <c r="F36" s="26">
        <f>IFERROR(AVERAGEIFS(LOG!J:J,LOG!D:D,27),"-")</f>
        <v/>
      </c>
      <c r="G36" s="22">
        <f>IFERROR(AVERAGEIFS(LOG!L:L,LOG!D:D,27),"-")</f>
        <v/>
      </c>
      <c r="H36" s="20">
        <f>IFERROR(MAXIFS(LOG!F:F,LOG!D:D,27,LOG!E:E,"Long Run"),"-")</f>
        <v/>
      </c>
      <c r="I36" s="21">
        <f>IFERROR(AVERAGEIFS(LOG!M:M,LOG!D:D,27),"-")</f>
        <v/>
      </c>
      <c r="J36" s="20">
        <f>IFERROR(IF(AVERAGEIFS(LOG!L:L,LOG!D:D,27)&gt;=0.8,"✅ ผ่าน","❌ ยังไม่ผ่าน"),"-")</f>
        <v/>
      </c>
    </row>
    <row r="37" ht="19.5" customHeight="1" s="70">
      <c r="B37" s="69" t="n">
        <v>28</v>
      </c>
      <c r="C37" s="28">
        <f>COUNTIFS(LOG!D:D,28)</f>
        <v/>
      </c>
      <c r="D37" s="29">
        <f>SUMIFS(LOG!G:G,LOG!D:D,28)</f>
        <v/>
      </c>
      <c r="E37" s="28">
        <f>SUMIFS(LOG!F:F,LOG!D:D,28)</f>
        <v/>
      </c>
      <c r="F37" s="30">
        <f>IFERROR(AVERAGEIFS(LOG!J:J,LOG!D:D,28),"-")</f>
        <v/>
      </c>
      <c r="G37" s="31">
        <f>IFERROR(AVERAGEIFS(LOG!L:L,LOG!D:D,28),"-")</f>
        <v/>
      </c>
      <c r="H37" s="28">
        <f>IFERROR(MAXIFS(LOG!F:F,LOG!D:D,28,LOG!E:E,"Long Run"),"-")</f>
        <v/>
      </c>
      <c r="I37" s="29">
        <f>IFERROR(AVERAGEIFS(LOG!M:M,LOG!D:D,28),"-")</f>
        <v/>
      </c>
      <c r="J37" s="28">
        <f>IFERROR(IF(AVERAGEIFS(LOG!L:L,LOG!D:D,28)&gt;=0.8,"✅ ผ่าน","❌ ยังไม่ผ่าน"),"-")</f>
        <v/>
      </c>
    </row>
    <row r="38" ht="19.5" customHeight="1" s="70">
      <c r="B38" s="68" t="n">
        <v>29</v>
      </c>
      <c r="C38" s="20">
        <f>COUNTIFS(LOG!D:D,29)</f>
        <v/>
      </c>
      <c r="D38" s="21">
        <f>SUMIFS(LOG!G:G,LOG!D:D,29)</f>
        <v/>
      </c>
      <c r="E38" s="20">
        <f>SUMIFS(LOG!F:F,LOG!D:D,29)</f>
        <v/>
      </c>
      <c r="F38" s="26">
        <f>IFERROR(AVERAGEIFS(LOG!J:J,LOG!D:D,29),"-")</f>
        <v/>
      </c>
      <c r="G38" s="22">
        <f>IFERROR(AVERAGEIFS(LOG!L:L,LOG!D:D,29),"-")</f>
        <v/>
      </c>
      <c r="H38" s="20">
        <f>IFERROR(MAXIFS(LOG!F:F,LOG!D:D,29,LOG!E:E,"Long Run"),"-")</f>
        <v/>
      </c>
      <c r="I38" s="21">
        <f>IFERROR(AVERAGEIFS(LOG!M:M,LOG!D:D,29),"-")</f>
        <v/>
      </c>
      <c r="J38" s="20">
        <f>IFERROR(IF(AVERAGEIFS(LOG!L:L,LOG!D:D,29)&gt;=0.8,"✅ ผ่าน","❌ ยังไม่ผ่าน"),"-")</f>
        <v/>
      </c>
    </row>
    <row r="39" ht="19.5" customHeight="1" s="70">
      <c r="B39" s="69" t="n">
        <v>30</v>
      </c>
      <c r="C39" s="28">
        <f>COUNTIFS(LOG!D:D,30)</f>
        <v/>
      </c>
      <c r="D39" s="29">
        <f>SUMIFS(LOG!G:G,LOG!D:D,30)</f>
        <v/>
      </c>
      <c r="E39" s="28">
        <f>SUMIFS(LOG!F:F,LOG!D:D,30)</f>
        <v/>
      </c>
      <c r="F39" s="30">
        <f>IFERROR(AVERAGEIFS(LOG!J:J,LOG!D:D,30),"-")</f>
        <v/>
      </c>
      <c r="G39" s="31">
        <f>IFERROR(AVERAGEIFS(LOG!L:L,LOG!D:D,30),"-")</f>
        <v/>
      </c>
      <c r="H39" s="28">
        <f>IFERROR(MAXIFS(LOG!F:F,LOG!D:D,30,LOG!E:E,"Long Run"),"-")</f>
        <v/>
      </c>
      <c r="I39" s="29">
        <f>IFERROR(AVERAGEIFS(LOG!M:M,LOG!D:D,30),"-")</f>
        <v/>
      </c>
      <c r="J39" s="28">
        <f>IFERROR(IF(AVERAGEIFS(LOG!L:L,LOG!D:D,30)&gt;=0.8,"✅ ผ่าน","❌ ยังไม่ผ่าน"),"-")</f>
        <v/>
      </c>
    </row>
    <row r="40" ht="19.5" customHeight="1" s="70">
      <c r="B40" s="68" t="n">
        <v>31</v>
      </c>
      <c r="C40" s="20">
        <f>COUNTIFS(LOG!D:D,31)</f>
        <v/>
      </c>
      <c r="D40" s="21">
        <f>SUMIFS(LOG!G:G,LOG!D:D,31)</f>
        <v/>
      </c>
      <c r="E40" s="20">
        <f>SUMIFS(LOG!F:F,LOG!D:D,31)</f>
        <v/>
      </c>
      <c r="F40" s="26">
        <f>IFERROR(AVERAGEIFS(LOG!J:J,LOG!D:D,31),"-")</f>
        <v/>
      </c>
      <c r="G40" s="22">
        <f>IFERROR(AVERAGEIFS(LOG!L:L,LOG!D:D,31),"-")</f>
        <v/>
      </c>
      <c r="H40" s="20">
        <f>IFERROR(MAXIFS(LOG!F:F,LOG!D:D,31,LOG!E:E,"Long Run"),"-")</f>
        <v/>
      </c>
      <c r="I40" s="21">
        <f>IFERROR(AVERAGEIFS(LOG!M:M,LOG!D:D,31),"-")</f>
        <v/>
      </c>
      <c r="J40" s="20">
        <f>IFERROR(IF(AVERAGEIFS(LOG!L:L,LOG!D:D,31)&gt;=0.8,"✅ ผ่าน","❌ ยังไม่ผ่าน"),"-")</f>
        <v/>
      </c>
    </row>
    <row r="41" ht="19.5" customHeight="1" s="70">
      <c r="B41" s="69" t="n">
        <v>32</v>
      </c>
      <c r="C41" s="28">
        <f>COUNTIFS(LOG!D:D,32)</f>
        <v/>
      </c>
      <c r="D41" s="29">
        <f>SUMIFS(LOG!G:G,LOG!D:D,32)</f>
        <v/>
      </c>
      <c r="E41" s="28">
        <f>SUMIFS(LOG!F:F,LOG!D:D,32)</f>
        <v/>
      </c>
      <c r="F41" s="30">
        <f>IFERROR(AVERAGEIFS(LOG!J:J,LOG!D:D,32),"-")</f>
        <v/>
      </c>
      <c r="G41" s="31">
        <f>IFERROR(AVERAGEIFS(LOG!L:L,LOG!D:D,32),"-")</f>
        <v/>
      </c>
      <c r="H41" s="28">
        <f>IFERROR(MAXIFS(LOG!F:F,LOG!D:D,32,LOG!E:E,"Long Run"),"-")</f>
        <v/>
      </c>
      <c r="I41" s="29">
        <f>IFERROR(AVERAGEIFS(LOG!M:M,LOG!D:D,32),"-")</f>
        <v/>
      </c>
      <c r="J41" s="28">
        <f>IFERROR(IF(AVERAGEIFS(LOG!L:L,LOG!D:D,32)&gt;=0.8,"✅ ผ่าน","❌ ยังไม่ผ่าน"),"-")</f>
        <v/>
      </c>
    </row>
    <row r="42" ht="19.5" customHeight="1" s="70">
      <c r="B42" s="68" t="n">
        <v>33</v>
      </c>
      <c r="C42" s="20">
        <f>COUNTIFS(LOG!D:D,33)</f>
        <v/>
      </c>
      <c r="D42" s="21">
        <f>SUMIFS(LOG!G:G,LOG!D:D,33)</f>
        <v/>
      </c>
      <c r="E42" s="20">
        <f>SUMIFS(LOG!F:F,LOG!D:D,33)</f>
        <v/>
      </c>
      <c r="F42" s="26">
        <f>IFERROR(AVERAGEIFS(LOG!J:J,LOG!D:D,33),"-")</f>
        <v/>
      </c>
      <c r="G42" s="22">
        <f>IFERROR(AVERAGEIFS(LOG!L:L,LOG!D:D,33),"-")</f>
        <v/>
      </c>
      <c r="H42" s="20">
        <f>IFERROR(MAXIFS(LOG!F:F,LOG!D:D,33,LOG!E:E,"Long Run"),"-")</f>
        <v/>
      </c>
      <c r="I42" s="21">
        <f>IFERROR(AVERAGEIFS(LOG!M:M,LOG!D:D,33),"-")</f>
        <v/>
      </c>
      <c r="J42" s="20">
        <f>IFERROR(IF(AVERAGEIFS(LOG!L:L,LOG!D:D,33)&gt;=0.8,"✅ ผ่าน","❌ ยังไม่ผ่าน"),"-")</f>
        <v/>
      </c>
    </row>
    <row r="43" ht="19.5" customHeight="1" s="70">
      <c r="B43" s="69" t="n">
        <v>34</v>
      </c>
      <c r="C43" s="28">
        <f>COUNTIFS(LOG!D:D,34)</f>
        <v/>
      </c>
      <c r="D43" s="29">
        <f>SUMIFS(LOG!G:G,LOG!D:D,34)</f>
        <v/>
      </c>
      <c r="E43" s="28">
        <f>SUMIFS(LOG!F:F,LOG!D:D,34)</f>
        <v/>
      </c>
      <c r="F43" s="30">
        <f>IFERROR(AVERAGEIFS(LOG!J:J,LOG!D:D,34),"-")</f>
        <v/>
      </c>
      <c r="G43" s="31">
        <f>IFERROR(AVERAGEIFS(LOG!L:L,LOG!D:D,34),"-")</f>
        <v/>
      </c>
      <c r="H43" s="28">
        <f>IFERROR(MAXIFS(LOG!F:F,LOG!D:D,34,LOG!E:E,"Long Run"),"-")</f>
        <v/>
      </c>
      <c r="I43" s="29">
        <f>IFERROR(AVERAGEIFS(LOG!M:M,LOG!D:D,34),"-")</f>
        <v/>
      </c>
      <c r="J43" s="28">
        <f>IFERROR(IF(AVERAGEIFS(LOG!L:L,LOG!D:D,34)&gt;=0.8,"✅ ผ่าน","❌ ยังไม่ผ่าน"),"-")</f>
        <v/>
      </c>
    </row>
    <row r="44" ht="19.5" customHeight="1" s="70">
      <c r="B44" s="68" t="n">
        <v>35</v>
      </c>
      <c r="C44" s="20">
        <f>COUNTIFS(LOG!D:D,35)</f>
        <v/>
      </c>
      <c r="D44" s="21">
        <f>SUMIFS(LOG!G:G,LOG!D:D,35)</f>
        <v/>
      </c>
      <c r="E44" s="20">
        <f>SUMIFS(LOG!F:F,LOG!D:D,35)</f>
        <v/>
      </c>
      <c r="F44" s="26">
        <f>IFERROR(AVERAGEIFS(LOG!J:J,LOG!D:D,35),"-")</f>
        <v/>
      </c>
      <c r="G44" s="22">
        <f>IFERROR(AVERAGEIFS(LOG!L:L,LOG!D:D,35),"-")</f>
        <v/>
      </c>
      <c r="H44" s="20">
        <f>IFERROR(MAXIFS(LOG!F:F,LOG!D:D,35,LOG!E:E,"Long Run"),"-")</f>
        <v/>
      </c>
      <c r="I44" s="21">
        <f>IFERROR(AVERAGEIFS(LOG!M:M,LOG!D:D,35),"-")</f>
        <v/>
      </c>
      <c r="J44" s="20">
        <f>IFERROR(IF(AVERAGEIFS(LOG!L:L,LOG!D:D,35)&gt;=0.8,"✅ ผ่าน","❌ ยังไม่ผ่าน"),"-")</f>
        <v/>
      </c>
    </row>
    <row r="45" ht="19.5" customHeight="1" s="70">
      <c r="B45" s="69" t="n">
        <v>36</v>
      </c>
      <c r="C45" s="28">
        <f>COUNTIFS(LOG!D:D,36)</f>
        <v/>
      </c>
      <c r="D45" s="29">
        <f>SUMIFS(LOG!G:G,LOG!D:D,36)</f>
        <v/>
      </c>
      <c r="E45" s="28">
        <f>SUMIFS(LOG!F:F,LOG!D:D,36)</f>
        <v/>
      </c>
      <c r="F45" s="30">
        <f>IFERROR(AVERAGEIFS(LOG!J:J,LOG!D:D,36),"-")</f>
        <v/>
      </c>
      <c r="G45" s="31">
        <f>IFERROR(AVERAGEIFS(LOG!L:L,LOG!D:D,36),"-")</f>
        <v/>
      </c>
      <c r="H45" s="28">
        <f>IFERROR(MAXIFS(LOG!F:F,LOG!D:D,36,LOG!E:E,"Long Run"),"-")</f>
        <v/>
      </c>
      <c r="I45" s="29">
        <f>IFERROR(AVERAGEIFS(LOG!M:M,LOG!D:D,36),"-")</f>
        <v/>
      </c>
      <c r="J45" s="28">
        <f>IFERROR(IF(AVERAGEIFS(LOG!L:L,LOG!D:D,36)&gt;=0.8,"✅ ผ่าน","❌ ยังไม่ผ่าน"),"-")</f>
        <v/>
      </c>
    </row>
    <row r="46" ht="19.5" customHeight="1" s="70">
      <c r="B46" s="68" t="n">
        <v>37</v>
      </c>
      <c r="C46" s="20">
        <f>COUNTIFS(LOG!D:D,37)</f>
        <v/>
      </c>
      <c r="D46" s="21">
        <f>SUMIFS(LOG!G:G,LOG!D:D,37)</f>
        <v/>
      </c>
      <c r="E46" s="20">
        <f>SUMIFS(LOG!F:F,LOG!D:D,37)</f>
        <v/>
      </c>
      <c r="F46" s="26">
        <f>IFERROR(AVERAGEIFS(LOG!J:J,LOG!D:D,37),"-")</f>
        <v/>
      </c>
      <c r="G46" s="22">
        <f>IFERROR(AVERAGEIFS(LOG!L:L,LOG!D:D,37),"-")</f>
        <v/>
      </c>
      <c r="H46" s="20">
        <f>IFERROR(MAXIFS(LOG!F:F,LOG!D:D,37,LOG!E:E,"Long Run"),"-")</f>
        <v/>
      </c>
      <c r="I46" s="21">
        <f>IFERROR(AVERAGEIFS(LOG!M:M,LOG!D:D,37),"-")</f>
        <v/>
      </c>
      <c r="J46" s="20">
        <f>IFERROR(IF(AVERAGEIFS(LOG!L:L,LOG!D:D,37)&gt;=0.8,"✅ ผ่าน","❌ ยังไม่ผ่าน"),"-")</f>
        <v/>
      </c>
    </row>
    <row r="47" ht="19.5" customHeight="1" s="70">
      <c r="B47" s="69" t="n">
        <v>38</v>
      </c>
      <c r="C47" s="28">
        <f>COUNTIFS(LOG!D:D,38)</f>
        <v/>
      </c>
      <c r="D47" s="29">
        <f>SUMIFS(LOG!G:G,LOG!D:D,38)</f>
        <v/>
      </c>
      <c r="E47" s="28">
        <f>SUMIFS(LOG!F:F,LOG!D:D,38)</f>
        <v/>
      </c>
      <c r="F47" s="30">
        <f>IFERROR(AVERAGEIFS(LOG!J:J,LOG!D:D,38),"-")</f>
        <v/>
      </c>
      <c r="G47" s="31">
        <f>IFERROR(AVERAGEIFS(LOG!L:L,LOG!D:D,38),"-")</f>
        <v/>
      </c>
      <c r="H47" s="28">
        <f>IFERROR(MAXIFS(LOG!F:F,LOG!D:D,38,LOG!E:E,"Long Run"),"-")</f>
        <v/>
      </c>
      <c r="I47" s="29">
        <f>IFERROR(AVERAGEIFS(LOG!M:M,LOG!D:D,38),"-")</f>
        <v/>
      </c>
      <c r="J47" s="28">
        <f>IFERROR(IF(AVERAGEIFS(LOG!L:L,LOG!D:D,38)&gt;=0.8,"✅ ผ่าน","❌ ยังไม่ผ่าน"),"-")</f>
        <v/>
      </c>
    </row>
    <row r="48" ht="19.5" customHeight="1" s="70">
      <c r="B48" s="68" t="n">
        <v>39</v>
      </c>
      <c r="C48" s="20">
        <f>COUNTIFS(LOG!D:D,39)</f>
        <v/>
      </c>
      <c r="D48" s="21">
        <f>SUMIFS(LOG!G:G,LOG!D:D,39)</f>
        <v/>
      </c>
      <c r="E48" s="20">
        <f>SUMIFS(LOG!F:F,LOG!D:D,39)</f>
        <v/>
      </c>
      <c r="F48" s="26">
        <f>IFERROR(AVERAGEIFS(LOG!J:J,LOG!D:D,39),"-")</f>
        <v/>
      </c>
      <c r="G48" s="22">
        <f>IFERROR(AVERAGEIFS(LOG!L:L,LOG!D:D,39),"-")</f>
        <v/>
      </c>
      <c r="H48" s="20">
        <f>IFERROR(MAXIFS(LOG!F:F,LOG!D:D,39,LOG!E:E,"Long Run"),"-")</f>
        <v/>
      </c>
      <c r="I48" s="21">
        <f>IFERROR(AVERAGEIFS(LOG!M:M,LOG!D:D,39),"-")</f>
        <v/>
      </c>
      <c r="J48" s="20">
        <f>IFERROR(IF(AVERAGEIFS(LOG!L:L,LOG!D:D,39)&gt;=0.8,"✅ ผ่าน","❌ ยังไม่ผ่าน"),"-")</f>
        <v/>
      </c>
    </row>
    <row r="49" ht="19.5" customHeight="1" s="70">
      <c r="B49" s="69" t="n">
        <v>40</v>
      </c>
      <c r="C49" s="28">
        <f>COUNTIFS(LOG!D:D,40)</f>
        <v/>
      </c>
      <c r="D49" s="29">
        <f>SUMIFS(LOG!G:G,LOG!D:D,40)</f>
        <v/>
      </c>
      <c r="E49" s="28">
        <f>SUMIFS(LOG!F:F,LOG!D:D,40)</f>
        <v/>
      </c>
      <c r="F49" s="30">
        <f>IFERROR(AVERAGEIFS(LOG!J:J,LOG!D:D,40),"-")</f>
        <v/>
      </c>
      <c r="G49" s="31">
        <f>IFERROR(AVERAGEIFS(LOG!L:L,LOG!D:D,40),"-")</f>
        <v/>
      </c>
      <c r="H49" s="28">
        <f>IFERROR(MAXIFS(LOG!F:F,LOG!D:D,40,LOG!E:E,"Long Run"),"-")</f>
        <v/>
      </c>
      <c r="I49" s="29">
        <f>IFERROR(AVERAGEIFS(LOG!M:M,LOG!D:D,40),"-")</f>
        <v/>
      </c>
      <c r="J49" s="28">
        <f>IFERROR(IF(AVERAGEIFS(LOG!L:L,LOG!D:D,40)&gt;=0.8,"✅ ผ่าน","❌ ยังไม่ผ่าน"),"-")</f>
        <v/>
      </c>
    </row>
    <row r="50" ht="19.5" customHeight="1" s="70">
      <c r="B50" s="68" t="n">
        <v>41</v>
      </c>
      <c r="C50" s="20">
        <f>COUNTIFS(LOG!D:D,41)</f>
        <v/>
      </c>
      <c r="D50" s="21">
        <f>SUMIFS(LOG!G:G,LOG!D:D,41)</f>
        <v/>
      </c>
      <c r="E50" s="20">
        <f>SUMIFS(LOG!F:F,LOG!D:D,41)</f>
        <v/>
      </c>
      <c r="F50" s="26">
        <f>IFERROR(AVERAGEIFS(LOG!J:J,LOG!D:D,41),"-")</f>
        <v/>
      </c>
      <c r="G50" s="22">
        <f>IFERROR(AVERAGEIFS(LOG!L:L,LOG!D:D,41),"-")</f>
        <v/>
      </c>
      <c r="H50" s="20">
        <f>IFERROR(MAXIFS(LOG!F:F,LOG!D:D,41,LOG!E:E,"Long Run"),"-")</f>
        <v/>
      </c>
      <c r="I50" s="21">
        <f>IFERROR(AVERAGEIFS(LOG!M:M,LOG!D:D,41),"-")</f>
        <v/>
      </c>
      <c r="J50" s="20">
        <f>IFERROR(IF(AVERAGEIFS(LOG!L:L,LOG!D:D,41)&gt;=0.8,"✅ ผ่าน","❌ ยังไม่ผ่าน"),"-")</f>
        <v/>
      </c>
    </row>
    <row r="51" ht="19.5" customHeight="1" s="70">
      <c r="B51" s="69" t="n">
        <v>42</v>
      </c>
      <c r="C51" s="28">
        <f>COUNTIFS(LOG!D:D,42)</f>
        <v/>
      </c>
      <c r="D51" s="29">
        <f>SUMIFS(LOG!G:G,LOG!D:D,42)</f>
        <v/>
      </c>
      <c r="E51" s="28">
        <f>SUMIFS(LOG!F:F,LOG!D:D,42)</f>
        <v/>
      </c>
      <c r="F51" s="30">
        <f>IFERROR(AVERAGEIFS(LOG!J:J,LOG!D:D,42),"-")</f>
        <v/>
      </c>
      <c r="G51" s="31">
        <f>IFERROR(AVERAGEIFS(LOG!L:L,LOG!D:D,42),"-")</f>
        <v/>
      </c>
      <c r="H51" s="28">
        <f>IFERROR(MAXIFS(LOG!F:F,LOG!D:D,42,LOG!E:E,"Long Run"),"-")</f>
        <v/>
      </c>
      <c r="I51" s="29">
        <f>IFERROR(AVERAGEIFS(LOG!M:M,LOG!D:D,42),"-")</f>
        <v/>
      </c>
      <c r="J51" s="28">
        <f>IFERROR(IF(AVERAGEIFS(LOG!L:L,LOG!D:D,42)&gt;=0.8,"✅ ผ่าน","❌ ยังไม่ผ่าน"),"-")</f>
        <v/>
      </c>
    </row>
    <row r="52" ht="19.5" customHeight="1" s="70">
      <c r="B52" s="68" t="n">
        <v>43</v>
      </c>
      <c r="C52" s="20">
        <f>COUNTIFS(LOG!D:D,43)</f>
        <v/>
      </c>
      <c r="D52" s="21">
        <f>SUMIFS(LOG!G:G,LOG!D:D,43)</f>
        <v/>
      </c>
      <c r="E52" s="20">
        <f>SUMIFS(LOG!F:F,LOG!D:D,43)</f>
        <v/>
      </c>
      <c r="F52" s="26">
        <f>IFERROR(AVERAGEIFS(LOG!J:J,LOG!D:D,43),"-")</f>
        <v/>
      </c>
      <c r="G52" s="22">
        <f>IFERROR(AVERAGEIFS(LOG!L:L,LOG!D:D,43),"-")</f>
        <v/>
      </c>
      <c r="H52" s="20">
        <f>IFERROR(MAXIFS(LOG!F:F,LOG!D:D,43,LOG!E:E,"Long Run"),"-")</f>
        <v/>
      </c>
      <c r="I52" s="21">
        <f>IFERROR(AVERAGEIFS(LOG!M:M,LOG!D:D,43),"-")</f>
        <v/>
      </c>
      <c r="J52" s="20">
        <f>IFERROR(IF(AVERAGEIFS(LOG!L:L,LOG!D:D,43)&gt;=0.8,"✅ ผ่าน","❌ ยังไม่ผ่าน"),"-")</f>
        <v/>
      </c>
    </row>
    <row r="53" ht="19.5" customHeight="1" s="70">
      <c r="B53" s="69" t="n">
        <v>44</v>
      </c>
      <c r="C53" s="28">
        <f>COUNTIFS(LOG!D:D,44)</f>
        <v/>
      </c>
      <c r="D53" s="29">
        <f>SUMIFS(LOG!G:G,LOG!D:D,44)</f>
        <v/>
      </c>
      <c r="E53" s="28">
        <f>SUMIFS(LOG!F:F,LOG!D:D,44)</f>
        <v/>
      </c>
      <c r="F53" s="30">
        <f>IFERROR(AVERAGEIFS(LOG!J:J,LOG!D:D,44),"-")</f>
        <v/>
      </c>
      <c r="G53" s="31">
        <f>IFERROR(AVERAGEIFS(LOG!L:L,LOG!D:D,44),"-")</f>
        <v/>
      </c>
      <c r="H53" s="28">
        <f>IFERROR(MAXIFS(LOG!F:F,LOG!D:D,44,LOG!E:E,"Long Run"),"-")</f>
        <v/>
      </c>
      <c r="I53" s="29">
        <f>IFERROR(AVERAGEIFS(LOG!M:M,LOG!D:D,44),"-")</f>
        <v/>
      </c>
      <c r="J53" s="28">
        <f>IFERROR(IF(AVERAGEIFS(LOG!L:L,LOG!D:D,44)&gt;=0.8,"✅ ผ่าน","❌ ยังไม่ผ่าน"),"-")</f>
        <v/>
      </c>
    </row>
    <row r="54" ht="19.5" customHeight="1" s="70">
      <c r="B54" s="68" t="n">
        <v>45</v>
      </c>
      <c r="C54" s="20">
        <f>COUNTIFS(LOG!D:D,45)</f>
        <v/>
      </c>
      <c r="D54" s="21">
        <f>SUMIFS(LOG!G:G,LOG!D:D,45)</f>
        <v/>
      </c>
      <c r="E54" s="20">
        <f>SUMIFS(LOG!F:F,LOG!D:D,45)</f>
        <v/>
      </c>
      <c r="F54" s="26">
        <f>IFERROR(AVERAGEIFS(LOG!J:J,LOG!D:D,45),"-")</f>
        <v/>
      </c>
      <c r="G54" s="22">
        <f>IFERROR(AVERAGEIFS(LOG!L:L,LOG!D:D,45),"-")</f>
        <v/>
      </c>
      <c r="H54" s="20">
        <f>IFERROR(MAXIFS(LOG!F:F,LOG!D:D,45,LOG!E:E,"Long Run"),"-")</f>
        <v/>
      </c>
      <c r="I54" s="21">
        <f>IFERROR(AVERAGEIFS(LOG!M:M,LOG!D:D,45),"-")</f>
        <v/>
      </c>
      <c r="J54" s="20">
        <f>IFERROR(IF(AVERAGEIFS(LOG!L:L,LOG!D:D,45)&gt;=0.8,"✅ ผ่าน","❌ ยังไม่ผ่าน"),"-")</f>
        <v/>
      </c>
    </row>
    <row r="55" ht="19.5" customHeight="1" s="70">
      <c r="B55" s="69" t="n">
        <v>46</v>
      </c>
      <c r="C55" s="28">
        <f>COUNTIFS(LOG!D:D,46)</f>
        <v/>
      </c>
      <c r="D55" s="29">
        <f>SUMIFS(LOG!G:G,LOG!D:D,46)</f>
        <v/>
      </c>
      <c r="E55" s="28">
        <f>SUMIFS(LOG!F:F,LOG!D:D,46)</f>
        <v/>
      </c>
      <c r="F55" s="30">
        <f>IFERROR(AVERAGEIFS(LOG!J:J,LOG!D:D,46),"-")</f>
        <v/>
      </c>
      <c r="G55" s="31">
        <f>IFERROR(AVERAGEIFS(LOG!L:L,LOG!D:D,46),"-")</f>
        <v/>
      </c>
      <c r="H55" s="28">
        <f>IFERROR(MAXIFS(LOG!F:F,LOG!D:D,46,LOG!E:E,"Long Run"),"-")</f>
        <v/>
      </c>
      <c r="I55" s="29">
        <f>IFERROR(AVERAGEIFS(LOG!M:M,LOG!D:D,46),"-")</f>
        <v/>
      </c>
      <c r="J55" s="28">
        <f>IFERROR(IF(AVERAGEIFS(LOG!L:L,LOG!D:D,46)&gt;=0.8,"✅ ผ่าน","❌ ยังไม่ผ่าน"),"-")</f>
        <v/>
      </c>
    </row>
    <row r="56" ht="19.5" customHeight="1" s="70">
      <c r="B56" s="68" t="n">
        <v>47</v>
      </c>
      <c r="C56" s="20">
        <f>COUNTIFS(LOG!D:D,47)</f>
        <v/>
      </c>
      <c r="D56" s="21">
        <f>SUMIFS(LOG!G:G,LOG!D:D,47)</f>
        <v/>
      </c>
      <c r="E56" s="20">
        <f>SUMIFS(LOG!F:F,LOG!D:D,47)</f>
        <v/>
      </c>
      <c r="F56" s="26">
        <f>IFERROR(AVERAGEIFS(LOG!J:J,LOG!D:D,47),"-")</f>
        <v/>
      </c>
      <c r="G56" s="22">
        <f>IFERROR(AVERAGEIFS(LOG!L:L,LOG!D:D,47),"-")</f>
        <v/>
      </c>
      <c r="H56" s="20">
        <f>IFERROR(MAXIFS(LOG!F:F,LOG!D:D,47,LOG!E:E,"Long Run"),"-")</f>
        <v/>
      </c>
      <c r="I56" s="21">
        <f>IFERROR(AVERAGEIFS(LOG!M:M,LOG!D:D,47),"-")</f>
        <v/>
      </c>
      <c r="J56" s="20">
        <f>IFERROR(IF(AVERAGEIFS(LOG!L:L,LOG!D:D,47)&gt;=0.8,"✅ ผ่าน","❌ ยังไม่ผ่าน"),"-")</f>
        <v/>
      </c>
    </row>
    <row r="57" ht="19.5" customHeight="1" s="70">
      <c r="B57" s="69" t="n">
        <v>48</v>
      </c>
      <c r="C57" s="28">
        <f>COUNTIFS(LOG!D:D,48)</f>
        <v/>
      </c>
      <c r="D57" s="29">
        <f>SUMIFS(LOG!G:G,LOG!D:D,48)</f>
        <v/>
      </c>
      <c r="E57" s="28">
        <f>SUMIFS(LOG!F:F,LOG!D:D,48)</f>
        <v/>
      </c>
      <c r="F57" s="30">
        <f>IFERROR(AVERAGEIFS(LOG!J:J,LOG!D:D,48),"-")</f>
        <v/>
      </c>
      <c r="G57" s="31">
        <f>IFERROR(AVERAGEIFS(LOG!L:L,LOG!D:D,48),"-")</f>
        <v/>
      </c>
      <c r="H57" s="28">
        <f>IFERROR(MAXIFS(LOG!F:F,LOG!D:D,48,LOG!E:E,"Long Run"),"-")</f>
        <v/>
      </c>
      <c r="I57" s="29">
        <f>IFERROR(AVERAGEIFS(LOG!M:M,LOG!D:D,48),"-")</f>
        <v/>
      </c>
      <c r="J57" s="28">
        <f>IFERROR(IF(AVERAGEIFS(LOG!L:L,LOG!D:D,48)&gt;=0.8,"✅ ผ่าน","❌ ยังไม่ผ่าน"),"-")</f>
        <v/>
      </c>
    </row>
    <row r="58" ht="19.5" customHeight="1" s="70">
      <c r="B58" s="68" t="n">
        <v>49</v>
      </c>
      <c r="C58" s="20">
        <f>COUNTIFS(LOG!D:D,49)</f>
        <v/>
      </c>
      <c r="D58" s="21">
        <f>SUMIFS(LOG!G:G,LOG!D:D,49)</f>
        <v/>
      </c>
      <c r="E58" s="20">
        <f>SUMIFS(LOG!F:F,LOG!D:D,49)</f>
        <v/>
      </c>
      <c r="F58" s="26">
        <f>IFERROR(AVERAGEIFS(LOG!J:J,LOG!D:D,49),"-")</f>
        <v/>
      </c>
      <c r="G58" s="22">
        <f>IFERROR(AVERAGEIFS(LOG!L:L,LOG!D:D,49),"-")</f>
        <v/>
      </c>
      <c r="H58" s="20">
        <f>IFERROR(MAXIFS(LOG!F:F,LOG!D:D,49,LOG!E:E,"Long Run"),"-")</f>
        <v/>
      </c>
      <c r="I58" s="21">
        <f>IFERROR(AVERAGEIFS(LOG!M:M,LOG!D:D,49),"-")</f>
        <v/>
      </c>
      <c r="J58" s="20">
        <f>IFERROR(IF(AVERAGEIFS(LOG!L:L,LOG!D:D,49)&gt;=0.8,"✅ ผ่าน","❌ ยังไม่ผ่าน"),"-")</f>
        <v/>
      </c>
    </row>
    <row r="59" ht="19.5" customHeight="1" s="70">
      <c r="B59" s="69" t="n">
        <v>50</v>
      </c>
      <c r="C59" s="28">
        <f>COUNTIFS(LOG!D:D,50)</f>
        <v/>
      </c>
      <c r="D59" s="29">
        <f>SUMIFS(LOG!G:G,LOG!D:D,50)</f>
        <v/>
      </c>
      <c r="E59" s="28">
        <f>SUMIFS(LOG!F:F,LOG!D:D,50)</f>
        <v/>
      </c>
      <c r="F59" s="30">
        <f>IFERROR(AVERAGEIFS(LOG!J:J,LOG!D:D,50),"-")</f>
        <v/>
      </c>
      <c r="G59" s="31">
        <f>IFERROR(AVERAGEIFS(LOG!L:L,LOG!D:D,50),"-")</f>
        <v/>
      </c>
      <c r="H59" s="28">
        <f>IFERROR(MAXIFS(LOG!F:F,LOG!D:D,50,LOG!E:E,"Long Run"),"-")</f>
        <v/>
      </c>
      <c r="I59" s="29">
        <f>IFERROR(AVERAGEIFS(LOG!M:M,LOG!D:D,50),"-")</f>
        <v/>
      </c>
      <c r="J59" s="28">
        <f>IFERROR(IF(AVERAGEIFS(LOG!L:L,LOG!D:D,50)&gt;=0.8,"✅ ผ่าน","❌ ยังไม่ผ่าน"),"-")</f>
        <v/>
      </c>
    </row>
    <row r="60" ht="19.5" customHeight="1" s="70">
      <c r="B60" s="68" t="n">
        <v>51</v>
      </c>
      <c r="C60" s="20">
        <f>COUNTIFS(LOG!D:D,51)</f>
        <v/>
      </c>
      <c r="D60" s="21">
        <f>SUMIFS(LOG!G:G,LOG!D:D,51)</f>
        <v/>
      </c>
      <c r="E60" s="20">
        <f>SUMIFS(LOG!F:F,LOG!D:D,51)</f>
        <v/>
      </c>
      <c r="F60" s="26">
        <f>IFERROR(AVERAGEIFS(LOG!J:J,LOG!D:D,51),"-")</f>
        <v/>
      </c>
      <c r="G60" s="22">
        <f>IFERROR(AVERAGEIFS(LOG!L:L,LOG!D:D,51),"-")</f>
        <v/>
      </c>
      <c r="H60" s="20">
        <f>IFERROR(MAXIFS(LOG!F:F,LOG!D:D,51,LOG!E:E,"Long Run"),"-")</f>
        <v/>
      </c>
      <c r="I60" s="21">
        <f>IFERROR(AVERAGEIFS(LOG!M:M,LOG!D:D,51),"-")</f>
        <v/>
      </c>
      <c r="J60" s="20">
        <f>IFERROR(IF(AVERAGEIFS(LOG!L:L,LOG!D:D,51)&gt;=0.8,"✅ ผ่าน","❌ ยังไม่ผ่าน"),"-")</f>
        <v/>
      </c>
    </row>
    <row r="61" ht="19.5" customHeight="1" s="70">
      <c r="B61" s="69" t="n">
        <v>52</v>
      </c>
      <c r="C61" s="28">
        <f>COUNTIFS(LOG!D:D,52)</f>
        <v/>
      </c>
      <c r="D61" s="29">
        <f>SUMIFS(LOG!G:G,LOG!D:D,52)</f>
        <v/>
      </c>
      <c r="E61" s="28">
        <f>SUMIFS(LOG!F:F,LOG!D:D,52)</f>
        <v/>
      </c>
      <c r="F61" s="30">
        <f>IFERROR(AVERAGEIFS(LOG!J:J,LOG!D:D,52),"-")</f>
        <v/>
      </c>
      <c r="G61" s="31">
        <f>IFERROR(AVERAGEIFS(LOG!L:L,LOG!D:D,52),"-")</f>
        <v/>
      </c>
      <c r="H61" s="28">
        <f>IFERROR(MAXIFS(LOG!F:F,LOG!D:D,52,LOG!E:E,"Long Run"),"-")</f>
        <v/>
      </c>
      <c r="I61" s="29">
        <f>IFERROR(AVERAGEIFS(LOG!M:M,LOG!D:D,52),"-")</f>
        <v/>
      </c>
      <c r="J61" s="28">
        <f>IFERROR(IF(AVERAGEIFS(LOG!L:L,LOG!D:D,52)&gt;=0.8,"✅ ผ่าน","❌ ยังไม่ผ่าน"),"-")</f>
        <v/>
      </c>
    </row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3">
    <mergeCell ref="B2:J2"/>
    <mergeCell ref="B8:J8"/>
    <mergeCell ref="B4:J4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2E6FD9"/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70" min="1" max="1"/>
    <col width="34" customWidth="1" style="70" min="2" max="3"/>
    <col width="58.14" customWidth="1" style="70" min="4" max="4"/>
    <col width="8.710000000000001" customWidth="1" style="70" min="5" max="26"/>
  </cols>
  <sheetData>
    <row r="1" ht="7.5" customHeight="1" s="70"/>
    <row r="2" ht="36" customHeight="1" s="70">
      <c r="B2" s="84" t="inlineStr">
        <is>
          <t>⚙️ ตั้งค่าข้อมูลนักวิ่ง</t>
        </is>
      </c>
    </row>
    <row r="3" ht="7.5" customHeight="1" s="70"/>
    <row r="4" ht="21.75" customHeight="1" s="70">
      <c r="B4" s="45" t="inlineStr">
        <is>
          <t>การตั้งค่า</t>
        </is>
      </c>
      <c r="C4" s="45" t="inlineStr">
        <is>
          <t>ค่า</t>
        </is>
      </c>
      <c r="D4" s="45" t="inlineStr">
        <is>
          <t>หมายเหตุ</t>
        </is>
      </c>
    </row>
    <row r="5" ht="21.75" customHeight="1" s="70">
      <c r="B5" s="41" t="inlineStr">
        <is>
          <t>ชื่อ</t>
        </is>
      </c>
      <c r="C5" s="48" t="inlineStr">
        <is>
          <t>Jokedose</t>
        </is>
      </c>
      <c r="D5" s="47" t="inlineStr">
        <is>
          <t>ชื่อนักวิ่ง</t>
        </is>
      </c>
    </row>
    <row r="6" ht="21.75" customHeight="1" s="70">
      <c r="B6" s="43" t="inlineStr">
        <is>
          <t>อายุ (ปี)</t>
        </is>
      </c>
      <c r="C6" s="48" t="n">
        <v>27</v>
      </c>
      <c r="D6" s="49" t="inlineStr">
        <is>
          <t>ใช้คำนวณ Max HR</t>
        </is>
      </c>
    </row>
    <row r="7" ht="21.75" customHeight="1" s="70">
      <c r="B7" s="41" t="inlineStr">
        <is>
          <t>Resting HR (bpm)</t>
        </is>
      </c>
      <c r="C7" s="48" t="n">
        <v>62</v>
      </c>
      <c r="D7" s="47" t="inlineStr">
        <is>
          <t>วัดตอนเช้าก่อนลุกจากเตียง</t>
        </is>
      </c>
    </row>
    <row r="8" ht="21.75" customHeight="1" s="70">
      <c r="B8" s="43" t="inlineStr">
        <is>
          <t>Max HR (bpm)</t>
        </is>
      </c>
      <c r="C8" s="50">
        <f>220-C6</f>
        <v/>
      </c>
      <c r="D8" s="49" t="inlineStr">
        <is>
          <t>คำนวณจากอายุ (220 - อายุ)</t>
        </is>
      </c>
    </row>
    <row r="9" ht="21.75" customHeight="1" s="70">
      <c r="B9" s="41" t="inlineStr">
        <is>
          <t>HRR</t>
        </is>
      </c>
      <c r="C9" s="50">
        <f>C8-C7</f>
        <v/>
      </c>
      <c r="D9" s="47" t="inlineStr">
        <is>
          <t>Heart Rate Reserve = Max HR - Resting HR</t>
        </is>
      </c>
    </row>
    <row r="10" ht="21.75" customHeight="1" s="70">
      <c r="B10" s="43" t="inlineStr">
        <is>
          <t>Zone 2 Low (bpm)</t>
        </is>
      </c>
      <c r="C10" s="50">
        <f>ROUND(C9*0.6+C7,0)</f>
        <v/>
      </c>
      <c r="D10" s="49" t="inlineStr">
        <is>
          <t>60% HRR + Resting HR</t>
        </is>
      </c>
    </row>
    <row r="11" ht="21.75" customHeight="1" s="70">
      <c r="B11" s="41" t="inlineStr">
        <is>
          <t>Zone 2 High (bpm)</t>
        </is>
      </c>
      <c r="C11" s="50">
        <f>ROUND(C9*0.7+C7,0)</f>
        <v/>
      </c>
      <c r="D11" s="47" t="inlineStr">
        <is>
          <t>70% HRR + Resting HR</t>
        </is>
      </c>
    </row>
    <row r="12" ht="21.75" customHeight="1" s="70">
      <c r="B12" s="43" t="inlineStr">
        <is>
          <t>น้ำหนัก (กก.)</t>
        </is>
      </c>
      <c r="C12" s="48" t="n">
        <v>71.5</v>
      </c>
      <c r="D12" s="49" t="n"/>
    </row>
    <row r="13" ht="21.75" customHeight="1" s="70">
      <c r="B13" s="41" t="inlineStr">
        <is>
          <t>ไขมัน (%)</t>
        </is>
      </c>
      <c r="C13" s="48" t="n">
        <v>22.2</v>
      </c>
      <c r="D13" s="47" t="inlineStr">
        <is>
          <t>จากเครื่องชั่ง ณ ก.พ. 2026</t>
        </is>
      </c>
    </row>
    <row r="14" ht="21.75" customHeight="1" s="70">
      <c r="B14" s="43" t="inlineStr">
        <is>
          <t>อุปกรณ์</t>
        </is>
      </c>
      <c r="C14" s="48" t="inlineStr">
        <is>
          <t>COROS Pace Pro</t>
        </is>
      </c>
      <c r="D14" s="49" t="n"/>
    </row>
    <row r="15" ht="21.75" customHeight="1" s="70">
      <c r="B15" s="41" t="inlineStr">
        <is>
          <t>เป้าหมาย Zone 2 Pace</t>
        </is>
      </c>
      <c r="C15" s="48" t="inlineStr">
        <is>
          <t>7:00</t>
        </is>
      </c>
      <c r="D15" s="47" t="inlineStr">
        <is>
          <t>นาที/กม. ภายในธ.ค. 2026</t>
        </is>
      </c>
    </row>
    <row r="16" ht="21.75" customHeight="1" s="70">
      <c r="B16" s="43" t="inlineStr">
        <is>
          <t>Pace Zone 2 ปัจจุบัน</t>
        </is>
      </c>
      <c r="C16" s="48" t="inlineStr">
        <is>
          <t>11:30</t>
        </is>
      </c>
      <c r="D16" s="49" t="inlineStr">
        <is>
          <t>นาที/กม. (ก.พ. 2026)</t>
        </is>
      </c>
    </row>
    <row r="17" ht="21.75" customHeight="1" s="70">
      <c r="B17" s="41" t="inlineStr">
        <is>
          <t>เป้าหมาย Zone 2 % ต่อ session</t>
        </is>
      </c>
      <c r="C17" s="48" t="inlineStr">
        <is>
          <t>80%</t>
        </is>
      </c>
      <c r="D17" s="47" t="inlineStr">
        <is>
          <t>ขั้นต่ำ</t>
        </is>
      </c>
    </row>
    <row r="18" ht="21.75" customHeight="1" s="70">
      <c r="B18" s="43" t="inlineStr">
        <is>
          <t>Max เพิ่ม distance ต่อสัปดาห์</t>
        </is>
      </c>
      <c r="C18" s="48" t="inlineStr">
        <is>
          <t>10%</t>
        </is>
      </c>
      <c r="D18" s="49" t="inlineStr">
        <is>
          <t>กฎ 10% rule</t>
        </is>
      </c>
    </row>
    <row r="20" ht="7.5" customHeight="1" s="70"/>
    <row r="21" ht="25.5" customHeight="1" s="70">
      <c r="B21" s="86" t="inlineStr">
        <is>
          <t>Zone HR ของคุณ (คำนวณอัตโนมัติ)</t>
        </is>
      </c>
      <c r="C21" s="83" t="n"/>
      <c r="D21" s="73" t="n"/>
    </row>
    <row r="22" ht="21.75" customHeight="1" s="70">
      <c r="B22" s="52" t="inlineStr">
        <is>
          <t>Zone 1 (Active Recovery)</t>
        </is>
      </c>
      <c r="C22" s="48" t="inlineStr">
        <is>
          <t>&lt; 130 bpm</t>
        </is>
      </c>
      <c r="D22" s="53" t="inlineStr">
        <is>
          <t>เดินเร็ว หรือ Warm-up</t>
        </is>
      </c>
    </row>
    <row r="23" ht="21.75" customHeight="1" s="70">
      <c r="B23" s="54" t="inlineStr">
        <is>
          <t>Zone 2 (Aerobic Base) ⭐</t>
        </is>
      </c>
      <c r="C23" s="50">
        <f>C10&amp;" – "&amp;C11&amp;" bpm"</f>
        <v/>
      </c>
      <c r="D23" s="55" t="inlineStr">
        <is>
          <t>เป้าหมาย — ง่าย คุยได้</t>
        </is>
      </c>
    </row>
    <row r="24" ht="21.75" customHeight="1" s="70">
      <c r="B24" s="56" t="inlineStr">
        <is>
          <t>Zone 3 (Aerobic)</t>
        </is>
      </c>
      <c r="C24" s="57" t="inlineStr">
        <is>
          <t>155–162 bpm</t>
        </is>
      </c>
      <c r="D24" s="58" t="inlineStr">
        <is>
          <t>ปานกลาง — threshold</t>
        </is>
      </c>
    </row>
    <row r="25" ht="21.75" customHeight="1" s="70">
      <c r="B25" s="59" t="inlineStr">
        <is>
          <t>Zone 4 (Threshold)</t>
        </is>
      </c>
      <c r="C25" s="60" t="inlineStr">
        <is>
          <t>163–172 bpm</t>
        </is>
      </c>
      <c r="D25" s="61" t="inlineStr">
        <is>
          <t>หนัก — Tempo run</t>
        </is>
      </c>
    </row>
    <row r="26" ht="21.75" customHeight="1" s="70">
      <c r="B26" s="62" t="inlineStr">
        <is>
          <t>Zone 5 (VO2 Max)</t>
        </is>
      </c>
      <c r="C26" s="63" t="inlineStr">
        <is>
          <t>&gt; 173 bpm</t>
        </is>
      </c>
      <c r="D26" s="64" t="inlineStr">
        <is>
          <t>หนักมาก — interval</t>
        </is>
      </c>
    </row>
    <row r="27" ht="15.75" customHeight="1" s="70"/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2">
    <mergeCell ref="B2:D2"/>
    <mergeCell ref="B21:D2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2026-02-22T16:41:54Z</dcterms:created>
  <dcterms:modified xmlns:dcterms="http://purl.org/dc/terms/" xmlns:xsi="http://www.w3.org/2001/XMLSchema-instance" xsi:type="dcterms:W3CDTF">2026-02-22T17:11:23Z</dcterms:modified>
</cp:coreProperties>
</file>